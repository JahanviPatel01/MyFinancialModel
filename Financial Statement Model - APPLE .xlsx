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codeName="ThisWorkbook" autoCompressPictures="0" defaultThemeVersion="124226"/>
  <mc:AlternateContent xmlns:mc="http://schemas.openxmlformats.org/markup-compatibility/2006">
    <mc:Choice Requires="x15">
      <x15ac:absPath xmlns:x15ac="http://schemas.microsoft.com/office/spreadsheetml/2010/11/ac" url="/Users/jahanvidpatel/Downloads/"/>
    </mc:Choice>
  </mc:AlternateContent>
  <xr:revisionPtr revIDLastSave="0" documentId="13_ncr:1_{7F1F347E-2D79-CE4D-84F0-4B036D90153B}" xr6:coauthVersionLast="47" xr6:coauthVersionMax="47" xr10:uidLastSave="{00000000-0000-0000-0000-000000000000}"/>
  <bookViews>
    <workbookView xWindow="28800" yWindow="0" windowWidth="38400" windowHeight="21600" tabRatio="736" xr2:uid="{00000000-000D-0000-FFFF-FFFF00000000}"/>
  </bookViews>
  <sheets>
    <sheet name="3 Statement Model" sheetId="90" r:id="rId1"/>
    <sheet name="Apple Forecasting" sheetId="87" r:id="rId2"/>
    <sheet name="Assumptions &amp; Comments" sheetId="88" r:id="rId3"/>
  </sheets>
  <definedNames>
    <definedName name="CIQWBGuid" hidden="1">"a611639b-bab1-425e-aaa5-008c326fdfdb"</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43588.5561574074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MLNK841c85bef3244d5c8fb6b3f84988d79e" hidden="1">#REF!</definedName>
    <definedName name="MLNKa7775792bf444a4785f8ed5c82461a24" hidden="1">#REF!</definedName>
    <definedName name="_xlnm.Print_Area" localSheetId="1">'Apple Forecasting'!$C$8:$X$125</definedName>
  </definedNames>
  <calcPr calcId="191029" calcMode="autoNoTable"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 i="88" l="1"/>
  <c r="A143" i="88"/>
  <c r="A142" i="88"/>
  <c r="A125" i="88"/>
  <c r="A124" i="88"/>
  <c r="A92" i="88"/>
  <c r="A91" i="88"/>
  <c r="A66" i="88"/>
  <c r="A65" i="88"/>
  <c r="A40" i="88"/>
  <c r="A39" i="88"/>
  <c r="N87" i="87"/>
  <c r="N88" i="87" s="1"/>
  <c r="M87" i="87"/>
  <c r="M88" i="87" s="1"/>
  <c r="L87" i="87"/>
  <c r="L88" i="87" s="1"/>
  <c r="F167" i="87"/>
  <c r="E167" i="87"/>
  <c r="D167" i="87"/>
  <c r="G166" i="87"/>
  <c r="G156" i="87"/>
  <c r="F153" i="87"/>
  <c r="E153" i="87"/>
  <c r="D153" i="87"/>
  <c r="C151" i="87"/>
  <c r="C150" i="87"/>
  <c r="F146" i="87"/>
  <c r="F157" i="87" s="1"/>
  <c r="E146" i="87"/>
  <c r="E157" i="87" s="1"/>
  <c r="E158" i="87" s="1"/>
  <c r="D146" i="87"/>
  <c r="G143" i="87"/>
  <c r="C133" i="87"/>
  <c r="C132" i="87"/>
  <c r="F125" i="87"/>
  <c r="G121" i="87" s="1"/>
  <c r="E125" i="87"/>
  <c r="D125" i="87"/>
  <c r="G124" i="87"/>
  <c r="G92" i="87" s="1"/>
  <c r="G123" i="87"/>
  <c r="H123" i="87" s="1"/>
  <c r="F118" i="87"/>
  <c r="G115" i="87" s="1"/>
  <c r="E118" i="87"/>
  <c r="F112" i="87"/>
  <c r="F110" i="87" s="1"/>
  <c r="F111" i="87" s="1"/>
  <c r="G111" i="87" s="1"/>
  <c r="E112" i="87"/>
  <c r="E110" i="87" s="1"/>
  <c r="E111" i="87" s="1"/>
  <c r="D112" i="87"/>
  <c r="D110" i="87" s="1"/>
  <c r="D111" i="87" s="1"/>
  <c r="F107" i="87"/>
  <c r="G107" i="87" s="1"/>
  <c r="E107" i="87"/>
  <c r="D107" i="87"/>
  <c r="F105" i="87"/>
  <c r="G102" i="87" s="1"/>
  <c r="E105" i="87"/>
  <c r="C100" i="87"/>
  <c r="C99" i="87"/>
  <c r="K87" i="87"/>
  <c r="K88" i="87" s="1"/>
  <c r="J87" i="87"/>
  <c r="J88" i="87" s="1"/>
  <c r="I87" i="87"/>
  <c r="I88" i="87" s="1"/>
  <c r="H87" i="87"/>
  <c r="H88" i="87" s="1"/>
  <c r="G87" i="87"/>
  <c r="G88" i="87" s="1"/>
  <c r="C76" i="87"/>
  <c r="C75" i="87"/>
  <c r="F70" i="87"/>
  <c r="E70" i="87"/>
  <c r="G69" i="87"/>
  <c r="H69" i="87" s="1"/>
  <c r="I69" i="87" s="1"/>
  <c r="J69" i="87" s="1"/>
  <c r="K69" i="87" s="1"/>
  <c r="L69" i="87" s="1"/>
  <c r="G64" i="87"/>
  <c r="H64" i="87" s="1"/>
  <c r="F63" i="87"/>
  <c r="F161" i="87" s="1"/>
  <c r="E63" i="87"/>
  <c r="E161" i="87" s="1"/>
  <c r="F61" i="87"/>
  <c r="G61" i="87" s="1"/>
  <c r="H61" i="87" s="1"/>
  <c r="I61" i="87" s="1"/>
  <c r="E61" i="87"/>
  <c r="G60" i="87"/>
  <c r="H60" i="87" s="1"/>
  <c r="I60" i="87" s="1"/>
  <c r="G56" i="87"/>
  <c r="H56" i="87" s="1"/>
  <c r="F54" i="87"/>
  <c r="G54" i="87" s="1"/>
  <c r="H54" i="87" s="1"/>
  <c r="I54" i="87" s="1"/>
  <c r="E54" i="87"/>
  <c r="G52" i="87"/>
  <c r="F51" i="87"/>
  <c r="G136" i="87" s="1"/>
  <c r="E51" i="87"/>
  <c r="C50" i="87"/>
  <c r="C49" i="87"/>
  <c r="K46" i="87"/>
  <c r="M46" i="87" s="1"/>
  <c r="J46" i="87"/>
  <c r="L46" i="87" s="1"/>
  <c r="N46" i="87" s="1"/>
  <c r="K45" i="87"/>
  <c r="M45" i="87" s="1"/>
  <c r="J45" i="87"/>
  <c r="L45" i="87" s="1"/>
  <c r="N45" i="87" s="1"/>
  <c r="F45" i="87"/>
  <c r="E45" i="87"/>
  <c r="D45" i="87"/>
  <c r="K44" i="87"/>
  <c r="M44" i="87" s="1"/>
  <c r="J44" i="87"/>
  <c r="L44" i="87" s="1"/>
  <c r="N44" i="87" s="1"/>
  <c r="F44" i="87"/>
  <c r="E44" i="87"/>
  <c r="D44" i="87"/>
  <c r="K43" i="87"/>
  <c r="M43" i="87" s="1"/>
  <c r="J43" i="87"/>
  <c r="L43" i="87" s="1"/>
  <c r="N43" i="87" s="1"/>
  <c r="K42" i="87"/>
  <c r="M42" i="87" s="1"/>
  <c r="J42" i="87"/>
  <c r="L42" i="87" s="1"/>
  <c r="N42" i="87" s="1"/>
  <c r="F42" i="87"/>
  <c r="E42" i="87"/>
  <c r="G38" i="87"/>
  <c r="F25" i="87"/>
  <c r="E25" i="87"/>
  <c r="E43" i="87" s="1"/>
  <c r="D25" i="87"/>
  <c r="D43" i="87" s="1"/>
  <c r="G23" i="87"/>
  <c r="G26" i="87" s="1"/>
  <c r="F21" i="87"/>
  <c r="F100" i="87" s="1"/>
  <c r="F20" i="87"/>
  <c r="F132" i="87" s="1"/>
  <c r="C8" i="87"/>
  <c r="E28" i="87" l="1"/>
  <c r="E32" i="87" s="1"/>
  <c r="E34" i="87" s="1"/>
  <c r="E122" i="87" s="1"/>
  <c r="D28" i="87"/>
  <c r="D32" i="87" s="1"/>
  <c r="D34" i="87" s="1"/>
  <c r="D122" i="87" s="1"/>
  <c r="J54" i="87"/>
  <c r="K54" i="87" s="1"/>
  <c r="L54" i="87" s="1"/>
  <c r="M54" i="87" s="1"/>
  <c r="N54" i="87" s="1"/>
  <c r="M69" i="87"/>
  <c r="J60" i="87"/>
  <c r="K60" i="87" s="1"/>
  <c r="L60" i="87" s="1"/>
  <c r="M60" i="87" s="1"/>
  <c r="N60" i="87" s="1"/>
  <c r="G25" i="87"/>
  <c r="G24" i="87" s="1"/>
  <c r="F49" i="87"/>
  <c r="G118" i="87"/>
  <c r="H115" i="87" s="1"/>
  <c r="E37" i="87"/>
  <c r="E39" i="87" s="1"/>
  <c r="E57" i="87"/>
  <c r="E65" i="87"/>
  <c r="F99" i="87"/>
  <c r="J61" i="87"/>
  <c r="K61" i="87" s="1"/>
  <c r="L61" i="87" s="1"/>
  <c r="M61" i="87" s="1"/>
  <c r="N61" i="87" s="1"/>
  <c r="H107" i="87"/>
  <c r="G104" i="87"/>
  <c r="G105" i="87" s="1"/>
  <c r="I123" i="87"/>
  <c r="I93" i="87" s="1"/>
  <c r="H93" i="87"/>
  <c r="E163" i="87"/>
  <c r="E162" i="87" s="1"/>
  <c r="D46" i="87"/>
  <c r="G84" i="87"/>
  <c r="G27" i="87"/>
  <c r="E20" i="87"/>
  <c r="E150" i="87" s="1"/>
  <c r="E46" i="87"/>
  <c r="F57" i="87"/>
  <c r="G93" i="87"/>
  <c r="H23" i="87"/>
  <c r="F65" i="87"/>
  <c r="H84" i="87"/>
  <c r="I64" i="87"/>
  <c r="F158" i="87"/>
  <c r="F163" i="87" s="1"/>
  <c r="F162" i="87" s="1"/>
  <c r="G162" i="87" s="1"/>
  <c r="H162" i="87" s="1"/>
  <c r="I162" i="87" s="1"/>
  <c r="J162" i="87" s="1"/>
  <c r="K162" i="87" s="1"/>
  <c r="L162" i="87" s="1"/>
  <c r="M162" i="87" s="1"/>
  <c r="N162" i="87" s="1"/>
  <c r="D129" i="87"/>
  <c r="D128" i="87"/>
  <c r="I56" i="87"/>
  <c r="H118" i="87"/>
  <c r="G110" i="87"/>
  <c r="H111" i="87"/>
  <c r="H156" i="87"/>
  <c r="F43" i="87"/>
  <c r="F28" i="87"/>
  <c r="H166" i="87"/>
  <c r="E129" i="87"/>
  <c r="E128" i="87"/>
  <c r="H52" i="87"/>
  <c r="G20" i="87"/>
  <c r="G67" i="87"/>
  <c r="G80" i="87"/>
  <c r="F150" i="87"/>
  <c r="E21" i="87"/>
  <c r="F151" i="87"/>
  <c r="F133" i="87"/>
  <c r="F50" i="87"/>
  <c r="G21" i="87"/>
  <c r="H38" i="87"/>
  <c r="H124" i="87"/>
  <c r="G63" i="87"/>
  <c r="J123" i="87" l="1"/>
  <c r="D37" i="87"/>
  <c r="D39" i="87" s="1"/>
  <c r="G28" i="87"/>
  <c r="N69" i="87"/>
  <c r="G53" i="87"/>
  <c r="G81" i="87" s="1"/>
  <c r="G59" i="87"/>
  <c r="G82" i="87" s="1"/>
  <c r="E72" i="87"/>
  <c r="F72" i="87"/>
  <c r="H26" i="87"/>
  <c r="H27" i="87"/>
  <c r="H25" i="87"/>
  <c r="I23" i="87"/>
  <c r="J23" i="87" s="1"/>
  <c r="E132" i="87"/>
  <c r="E99" i="87"/>
  <c r="D20" i="87"/>
  <c r="E49" i="87"/>
  <c r="I107" i="87"/>
  <c r="H104" i="87"/>
  <c r="I166" i="87"/>
  <c r="G161" i="87"/>
  <c r="G163" i="87" s="1"/>
  <c r="G90" i="87"/>
  <c r="H63" i="87"/>
  <c r="I124" i="87"/>
  <c r="H92" i="87"/>
  <c r="I156" i="87"/>
  <c r="J93" i="87"/>
  <c r="K123" i="87"/>
  <c r="I111" i="87"/>
  <c r="H110" i="87"/>
  <c r="G116" i="87"/>
  <c r="G117" i="87" s="1"/>
  <c r="G83" i="87" s="1"/>
  <c r="G112" i="87"/>
  <c r="H80" i="87"/>
  <c r="I38" i="87"/>
  <c r="I115" i="87"/>
  <c r="D21" i="87"/>
  <c r="E151" i="87"/>
  <c r="E133" i="87"/>
  <c r="E50" i="87"/>
  <c r="E100" i="87"/>
  <c r="G55" i="87"/>
  <c r="H102" i="87"/>
  <c r="F32" i="87"/>
  <c r="F37" i="87"/>
  <c r="F39" i="87" s="1"/>
  <c r="G151" i="87"/>
  <c r="G133" i="87"/>
  <c r="G50" i="87"/>
  <c r="H21" i="87"/>
  <c r="G100" i="87"/>
  <c r="G76" i="87"/>
  <c r="J56" i="87"/>
  <c r="I118" i="87"/>
  <c r="H67" i="87"/>
  <c r="G75" i="87"/>
  <c r="G132" i="87"/>
  <c r="G150" i="87"/>
  <c r="H20" i="87"/>
  <c r="G99" i="87"/>
  <c r="G49" i="87"/>
  <c r="I52" i="87"/>
  <c r="J64" i="87"/>
  <c r="I84" i="87"/>
  <c r="H105" i="87" l="1"/>
  <c r="K93" i="87"/>
  <c r="L123" i="87"/>
  <c r="I25" i="87"/>
  <c r="I27" i="87"/>
  <c r="D132" i="87"/>
  <c r="D99" i="87"/>
  <c r="D150" i="87"/>
  <c r="I26" i="87"/>
  <c r="H28" i="87"/>
  <c r="H24" i="87"/>
  <c r="I104" i="87"/>
  <c r="J107" i="87"/>
  <c r="J38" i="87"/>
  <c r="I80" i="87"/>
  <c r="G36" i="87"/>
  <c r="G37" i="87" s="1"/>
  <c r="G39" i="87" s="1"/>
  <c r="G79" i="87"/>
  <c r="I67" i="87"/>
  <c r="H116" i="87"/>
  <c r="H117" i="87" s="1"/>
  <c r="H83" i="87" s="1"/>
  <c r="H112" i="87"/>
  <c r="J115" i="87"/>
  <c r="J111" i="87"/>
  <c r="I110" i="87"/>
  <c r="J118" i="87"/>
  <c r="K56" i="87"/>
  <c r="H50" i="87"/>
  <c r="I21" i="87"/>
  <c r="H133" i="87"/>
  <c r="H100" i="87"/>
  <c r="H76" i="87"/>
  <c r="H151" i="87"/>
  <c r="J26" i="87"/>
  <c r="K23" i="87"/>
  <c r="L23" i="87" s="1"/>
  <c r="J27" i="87"/>
  <c r="J25" i="87"/>
  <c r="J156" i="87"/>
  <c r="H150" i="87"/>
  <c r="I20" i="87"/>
  <c r="H132" i="87"/>
  <c r="H99" i="87"/>
  <c r="H49" i="87"/>
  <c r="H75" i="87"/>
  <c r="F34" i="87"/>
  <c r="F122" i="87" s="1"/>
  <c r="F46" i="87"/>
  <c r="H55" i="87"/>
  <c r="I102" i="87"/>
  <c r="I92" i="87"/>
  <c r="J124" i="87"/>
  <c r="H161" i="87"/>
  <c r="H163" i="87" s="1"/>
  <c r="H90" i="87"/>
  <c r="I63" i="87"/>
  <c r="K64" i="87"/>
  <c r="J84" i="87"/>
  <c r="J166" i="87"/>
  <c r="J52" i="87"/>
  <c r="D133" i="87"/>
  <c r="D100" i="87"/>
  <c r="D151" i="87"/>
  <c r="I28" i="87" l="1"/>
  <c r="K118" i="87"/>
  <c r="L115" i="87" s="1"/>
  <c r="L56" i="87"/>
  <c r="M123" i="87"/>
  <c r="L93" i="87"/>
  <c r="I24" i="87"/>
  <c r="K84" i="87"/>
  <c r="L64" i="87"/>
  <c r="M23" i="87"/>
  <c r="L27" i="87"/>
  <c r="L26" i="87"/>
  <c r="L25" i="87"/>
  <c r="I105" i="87"/>
  <c r="I55" i="87" s="1"/>
  <c r="K107" i="87"/>
  <c r="J104" i="87"/>
  <c r="H53" i="87"/>
  <c r="H81" i="87" s="1"/>
  <c r="H59" i="87"/>
  <c r="H82" i="87" s="1"/>
  <c r="K26" i="87"/>
  <c r="K25" i="87"/>
  <c r="K27" i="87"/>
  <c r="K52" i="87"/>
  <c r="K166" i="87"/>
  <c r="L166" i="87" s="1"/>
  <c r="M166" i="87" s="1"/>
  <c r="N166" i="87" s="1"/>
  <c r="I100" i="87"/>
  <c r="I50" i="87"/>
  <c r="J21" i="87"/>
  <c r="I133" i="87"/>
  <c r="I76" i="87"/>
  <c r="I151" i="87"/>
  <c r="I161" i="87"/>
  <c r="I163" i="87" s="1"/>
  <c r="I90" i="87"/>
  <c r="J63" i="87"/>
  <c r="J92" i="87"/>
  <c r="K124" i="87"/>
  <c r="L124" i="87" s="1"/>
  <c r="K115" i="87"/>
  <c r="I116" i="87"/>
  <c r="I117" i="87" s="1"/>
  <c r="I83" i="87" s="1"/>
  <c r="I112" i="87"/>
  <c r="K111" i="87"/>
  <c r="J110" i="87"/>
  <c r="J102" i="87"/>
  <c r="J105" i="87" s="1"/>
  <c r="H79" i="87"/>
  <c r="H36" i="87"/>
  <c r="H37" i="87" s="1"/>
  <c r="H39" i="87" s="1"/>
  <c r="F129" i="87"/>
  <c r="F128" i="87"/>
  <c r="G128" i="87" s="1"/>
  <c r="H128" i="87" s="1"/>
  <c r="I128" i="87" s="1"/>
  <c r="J128" i="87" s="1"/>
  <c r="K128" i="87" s="1"/>
  <c r="L128" i="87" s="1"/>
  <c r="M128" i="87" s="1"/>
  <c r="N128" i="87" s="1"/>
  <c r="J67" i="87"/>
  <c r="J20" i="87"/>
  <c r="I49" i="87"/>
  <c r="I150" i="87"/>
  <c r="I132" i="87"/>
  <c r="I99" i="87"/>
  <c r="I75" i="87"/>
  <c r="K38" i="87"/>
  <c r="J80" i="87"/>
  <c r="K156" i="87"/>
  <c r="L156" i="87" s="1"/>
  <c r="M156" i="87" s="1"/>
  <c r="N156" i="87" s="1"/>
  <c r="J28" i="87"/>
  <c r="J24" i="87"/>
  <c r="M124" i="87" l="1"/>
  <c r="L92" i="87"/>
  <c r="L84" i="87"/>
  <c r="M64" i="87"/>
  <c r="K104" i="87"/>
  <c r="L107" i="87"/>
  <c r="L52" i="87"/>
  <c r="K80" i="87"/>
  <c r="L38" i="87"/>
  <c r="L118" i="87"/>
  <c r="M56" i="87"/>
  <c r="K110" i="87"/>
  <c r="L111" i="87"/>
  <c r="M93" i="87"/>
  <c r="N123" i="87"/>
  <c r="N93" i="87" s="1"/>
  <c r="L24" i="87"/>
  <c r="L28" i="87"/>
  <c r="N23" i="87"/>
  <c r="M26" i="87"/>
  <c r="M25" i="87"/>
  <c r="M27" i="87"/>
  <c r="I59" i="87"/>
  <c r="I82" i="87" s="1"/>
  <c r="I53" i="87"/>
  <c r="I81" i="87" s="1"/>
  <c r="I79" i="87"/>
  <c r="I36" i="87"/>
  <c r="I37" i="87" s="1"/>
  <c r="I39" i="87" s="1"/>
  <c r="K92" i="87"/>
  <c r="J161" i="87"/>
  <c r="J163" i="87" s="1"/>
  <c r="J90" i="87"/>
  <c r="K63" i="87"/>
  <c r="L63" i="87" s="1"/>
  <c r="K20" i="87"/>
  <c r="L20" i="87" s="1"/>
  <c r="J49" i="87"/>
  <c r="J99" i="87"/>
  <c r="J150" i="87"/>
  <c r="J132" i="87"/>
  <c r="J75" i="87"/>
  <c r="K67" i="87"/>
  <c r="L67" i="87" s="1"/>
  <c r="J100" i="87"/>
  <c r="J50" i="87"/>
  <c r="K21" i="87"/>
  <c r="L21" i="87" s="1"/>
  <c r="J133" i="87"/>
  <c r="J76" i="87"/>
  <c r="J151" i="87"/>
  <c r="J55" i="87"/>
  <c r="K102" i="87"/>
  <c r="J112" i="87"/>
  <c r="J116" i="87"/>
  <c r="J117" i="87" s="1"/>
  <c r="J83" i="87" s="1"/>
  <c r="K28" i="87"/>
  <c r="K24" i="87"/>
  <c r="K105" i="87" l="1"/>
  <c r="K55" i="87" s="1"/>
  <c r="K112" i="87"/>
  <c r="K116" i="87"/>
  <c r="K117" i="87" s="1"/>
  <c r="K83" i="87" s="1"/>
  <c r="M107" i="87"/>
  <c r="L104" i="87"/>
  <c r="L110" i="87"/>
  <c r="M111" i="87"/>
  <c r="J59" i="87"/>
  <c r="J82" i="87" s="1"/>
  <c r="N64" i="87"/>
  <c r="N84" i="87" s="1"/>
  <c r="M84" i="87"/>
  <c r="L90" i="87"/>
  <c r="M63" i="87"/>
  <c r="L161" i="87"/>
  <c r="L163" i="87" s="1"/>
  <c r="M115" i="87"/>
  <c r="M21" i="87"/>
  <c r="L133" i="87"/>
  <c r="L100" i="87"/>
  <c r="L151" i="87"/>
  <c r="L76" i="87"/>
  <c r="L50" i="87"/>
  <c r="M38" i="87"/>
  <c r="L80" i="87"/>
  <c r="M52" i="87"/>
  <c r="N56" i="87"/>
  <c r="N118" i="87" s="1"/>
  <c r="M118" i="87"/>
  <c r="N115" i="87" s="1"/>
  <c r="M20" i="87"/>
  <c r="L49" i="87"/>
  <c r="L132" i="87"/>
  <c r="L99" i="87"/>
  <c r="L150" i="87"/>
  <c r="L75" i="87"/>
  <c r="N124" i="87"/>
  <c r="N92" i="87" s="1"/>
  <c r="M92" i="87"/>
  <c r="L102" i="87"/>
  <c r="M24" i="87"/>
  <c r="M28" i="87"/>
  <c r="N25" i="87"/>
  <c r="N26" i="87"/>
  <c r="N27" i="87"/>
  <c r="J53" i="87"/>
  <c r="J81" i="87" s="1"/>
  <c r="K100" i="87"/>
  <c r="K50" i="87"/>
  <c r="K151" i="87"/>
  <c r="K133" i="87"/>
  <c r="K76" i="87"/>
  <c r="K99" i="87"/>
  <c r="K150" i="87"/>
  <c r="K132" i="87"/>
  <c r="K49" i="87"/>
  <c r="K75" i="87"/>
  <c r="K90" i="87"/>
  <c r="K161" i="87"/>
  <c r="K163" i="87" s="1"/>
  <c r="K79" i="87"/>
  <c r="K36" i="87"/>
  <c r="K37" i="87" s="1"/>
  <c r="K39" i="87" s="1"/>
  <c r="J79" i="87"/>
  <c r="J36" i="87"/>
  <c r="J37" i="87" s="1"/>
  <c r="J39" i="87" s="1"/>
  <c r="K59" i="87" l="1"/>
  <c r="L59" i="87" s="1"/>
  <c r="L105" i="87"/>
  <c r="M59" i="87"/>
  <c r="L82" i="87"/>
  <c r="N52" i="87"/>
  <c r="N21" i="87"/>
  <c r="M133" i="87"/>
  <c r="M100" i="87"/>
  <c r="M151" i="87"/>
  <c r="M76" i="87"/>
  <c r="M50" i="87"/>
  <c r="N111" i="87"/>
  <c r="N110" i="87" s="1"/>
  <c r="M110" i="87"/>
  <c r="N38" i="87"/>
  <c r="N80" i="87" s="1"/>
  <c r="M80" i="87"/>
  <c r="L112" i="87"/>
  <c r="L116" i="87"/>
  <c r="L117" i="87" s="1"/>
  <c r="L83" i="87" s="1"/>
  <c r="M67" i="87"/>
  <c r="N20" i="87"/>
  <c r="M49" i="87"/>
  <c r="M132" i="87"/>
  <c r="M99" i="87"/>
  <c r="M150" i="87"/>
  <c r="M75" i="87"/>
  <c r="N63" i="87"/>
  <c r="M90" i="87"/>
  <c r="M161" i="87"/>
  <c r="M163" i="87" s="1"/>
  <c r="N107" i="87"/>
  <c r="N104" i="87" s="1"/>
  <c r="M104" i="87"/>
  <c r="L55" i="87"/>
  <c r="M102" i="87"/>
  <c r="M105" i="87" s="1"/>
  <c r="N28" i="87"/>
  <c r="N24" i="87"/>
  <c r="K53" i="87"/>
  <c r="K82" i="87"/>
  <c r="M112" i="87" l="1"/>
  <c r="M116" i="87"/>
  <c r="M117" i="87" s="1"/>
  <c r="M83" i="87" s="1"/>
  <c r="N112" i="87"/>
  <c r="N116" i="87"/>
  <c r="N117" i="87" s="1"/>
  <c r="N83" i="87" s="1"/>
  <c r="N90" i="87"/>
  <c r="N161" i="87"/>
  <c r="N163" i="87" s="1"/>
  <c r="L79" i="87"/>
  <c r="L36" i="87"/>
  <c r="L37" i="87" s="1"/>
  <c r="L39" i="87" s="1"/>
  <c r="N133" i="87"/>
  <c r="N151" i="87"/>
  <c r="N76" i="87"/>
  <c r="N50" i="87"/>
  <c r="N100" i="87"/>
  <c r="N49" i="87"/>
  <c r="N132" i="87"/>
  <c r="N99" i="87"/>
  <c r="N150" i="87"/>
  <c r="N75" i="87"/>
  <c r="K81" i="87"/>
  <c r="L53" i="87"/>
  <c r="L81" i="87"/>
  <c r="N67" i="87"/>
  <c r="N59" i="87"/>
  <c r="N82" i="87" s="1"/>
  <c r="M82" i="87"/>
  <c r="M55" i="87"/>
  <c r="N102" i="87"/>
  <c r="N105" i="87" s="1"/>
  <c r="N55" i="87" s="1"/>
  <c r="M53" i="87" l="1"/>
  <c r="M81" i="87"/>
  <c r="N36" i="87"/>
  <c r="N37" i="87" s="1"/>
  <c r="N39" i="87" s="1"/>
  <c r="N79" i="87"/>
  <c r="M36" i="87"/>
  <c r="M37" i="87" s="1"/>
  <c r="M39" i="87" s="1"/>
  <c r="M79" i="87"/>
  <c r="N53" i="87" l="1"/>
  <c r="N81" i="87"/>
  <c r="G29" i="87" l="1"/>
  <c r="H29" i="87"/>
  <c r="I29" i="87"/>
  <c r="J29" i="87"/>
  <c r="K29" i="87"/>
  <c r="L29" i="87"/>
  <c r="M29" i="87"/>
  <c r="N29" i="87"/>
  <c r="G30" i="87"/>
  <c r="H30" i="87"/>
  <c r="I30" i="87"/>
  <c r="J30" i="87"/>
  <c r="K30" i="87"/>
  <c r="L30" i="87"/>
  <c r="M30" i="87"/>
  <c r="N30" i="87"/>
  <c r="G32" i="87"/>
  <c r="H32" i="87"/>
  <c r="I32" i="87"/>
  <c r="J32" i="87"/>
  <c r="K32" i="87"/>
  <c r="L32" i="87"/>
  <c r="M32" i="87"/>
  <c r="N32" i="87"/>
  <c r="G33" i="87"/>
  <c r="H33" i="87"/>
  <c r="I33" i="87"/>
  <c r="J33" i="87"/>
  <c r="K33" i="87"/>
  <c r="L33" i="87"/>
  <c r="M33" i="87"/>
  <c r="N33" i="87"/>
  <c r="G34" i="87"/>
  <c r="H34" i="87"/>
  <c r="I34" i="87"/>
  <c r="J34" i="87"/>
  <c r="K34" i="87"/>
  <c r="L34" i="87"/>
  <c r="M34" i="87"/>
  <c r="N34" i="87"/>
  <c r="G51" i="87"/>
  <c r="H51" i="87"/>
  <c r="I51" i="87"/>
  <c r="J51" i="87"/>
  <c r="K51" i="87"/>
  <c r="L51" i="87"/>
  <c r="M51" i="87"/>
  <c r="N51" i="87"/>
  <c r="G57" i="87"/>
  <c r="H57" i="87"/>
  <c r="I57" i="87"/>
  <c r="J57" i="87"/>
  <c r="K57" i="87"/>
  <c r="L57" i="87"/>
  <c r="M57" i="87"/>
  <c r="N57" i="87"/>
  <c r="G62" i="87"/>
  <c r="H62" i="87"/>
  <c r="I62" i="87"/>
  <c r="J62" i="87"/>
  <c r="K62" i="87"/>
  <c r="L62" i="87"/>
  <c r="M62" i="87"/>
  <c r="N62" i="87"/>
  <c r="G65" i="87"/>
  <c r="H65" i="87"/>
  <c r="I65" i="87"/>
  <c r="J65" i="87"/>
  <c r="K65" i="87"/>
  <c r="L65" i="87"/>
  <c r="M65" i="87"/>
  <c r="N65" i="87"/>
  <c r="G68" i="87"/>
  <c r="H68" i="87"/>
  <c r="I68" i="87"/>
  <c r="J68" i="87"/>
  <c r="K68" i="87"/>
  <c r="L68" i="87"/>
  <c r="M68" i="87"/>
  <c r="N68" i="87"/>
  <c r="G70" i="87"/>
  <c r="H70" i="87"/>
  <c r="I70" i="87"/>
  <c r="J70" i="87"/>
  <c r="K70" i="87"/>
  <c r="L70" i="87"/>
  <c r="M70" i="87"/>
  <c r="N70" i="87"/>
  <c r="G72" i="87"/>
  <c r="H72" i="87"/>
  <c r="I72" i="87"/>
  <c r="J72" i="87"/>
  <c r="K72" i="87"/>
  <c r="L72" i="87"/>
  <c r="M72" i="87"/>
  <c r="N72" i="87"/>
  <c r="G78" i="87"/>
  <c r="H78" i="87"/>
  <c r="I78" i="87"/>
  <c r="J78" i="87"/>
  <c r="K78" i="87"/>
  <c r="L78" i="87"/>
  <c r="M78" i="87"/>
  <c r="N78" i="87"/>
  <c r="G85" i="87"/>
  <c r="H85" i="87"/>
  <c r="I85" i="87"/>
  <c r="J85" i="87"/>
  <c r="K85" i="87"/>
  <c r="L85" i="87"/>
  <c r="M85" i="87"/>
  <c r="N85" i="87"/>
  <c r="I89" i="87"/>
  <c r="J89" i="87"/>
  <c r="K89" i="87"/>
  <c r="G91" i="87"/>
  <c r="H91" i="87"/>
  <c r="I91" i="87"/>
  <c r="J91" i="87"/>
  <c r="K91" i="87"/>
  <c r="L91" i="87"/>
  <c r="M91" i="87"/>
  <c r="N91" i="87"/>
  <c r="G94" i="87"/>
  <c r="H94" i="87"/>
  <c r="I94" i="87"/>
  <c r="J94" i="87"/>
  <c r="K94" i="87"/>
  <c r="L94" i="87"/>
  <c r="M94" i="87"/>
  <c r="N94" i="87"/>
  <c r="G96" i="87"/>
  <c r="H96" i="87"/>
  <c r="I96" i="87"/>
  <c r="J96" i="87"/>
  <c r="K96" i="87"/>
  <c r="L96" i="87"/>
  <c r="M96" i="87"/>
  <c r="N96" i="87"/>
  <c r="H121" i="87"/>
  <c r="I121" i="87"/>
  <c r="J121" i="87"/>
  <c r="K121" i="87"/>
  <c r="L121" i="87"/>
  <c r="M121" i="87"/>
  <c r="N121" i="87"/>
  <c r="G122" i="87"/>
  <c r="H122" i="87"/>
  <c r="I122" i="87"/>
  <c r="J122" i="87"/>
  <c r="K122" i="87"/>
  <c r="L122" i="87"/>
  <c r="M122" i="87"/>
  <c r="N122" i="87"/>
  <c r="G125" i="87"/>
  <c r="H125" i="87"/>
  <c r="I125" i="87"/>
  <c r="J125" i="87"/>
  <c r="K125" i="87"/>
  <c r="L125" i="87"/>
  <c r="M125" i="87"/>
  <c r="N125" i="87"/>
  <c r="G129" i="87"/>
  <c r="H129" i="87"/>
  <c r="I129" i="87"/>
  <c r="J129" i="87"/>
  <c r="K129" i="87"/>
  <c r="L129" i="87"/>
  <c r="M129" i="87"/>
  <c r="N129" i="87"/>
  <c r="H136" i="87"/>
  <c r="I136" i="87"/>
  <c r="J136" i="87"/>
  <c r="K136" i="87"/>
  <c r="L136" i="87"/>
  <c r="M136" i="87"/>
  <c r="N136" i="87"/>
  <c r="G138" i="87"/>
  <c r="H138" i="87"/>
  <c r="I138" i="87"/>
  <c r="J138" i="87"/>
  <c r="K138" i="87"/>
  <c r="L138" i="87"/>
  <c r="M138" i="87"/>
  <c r="N138" i="87"/>
  <c r="G139" i="87"/>
  <c r="H139" i="87"/>
  <c r="I139" i="87"/>
  <c r="J139" i="87"/>
  <c r="K139" i="87"/>
  <c r="L139" i="87"/>
  <c r="M139" i="87"/>
  <c r="N139" i="87"/>
  <c r="H143" i="87"/>
  <c r="I143" i="87"/>
  <c r="J143" i="87"/>
  <c r="K143" i="87"/>
  <c r="L143" i="87"/>
  <c r="M143" i="87"/>
  <c r="N143" i="87"/>
  <c r="G144" i="87"/>
  <c r="H144" i="87"/>
  <c r="I144" i="87"/>
  <c r="J144" i="87"/>
  <c r="K144" i="87"/>
  <c r="L144" i="87"/>
  <c r="M144" i="87"/>
  <c r="N144" i="87"/>
  <c r="G146" i="87"/>
  <c r="H146" i="87"/>
  <c r="I146" i="87"/>
  <c r="J146" i="87"/>
  <c r="K146" i="87"/>
  <c r="L146" i="87"/>
  <c r="M146" i="87"/>
  <c r="N146" i="87"/>
  <c r="G147" i="87"/>
  <c r="H147" i="87"/>
  <c r="I147" i="87"/>
  <c r="J147" i="87"/>
  <c r="K147" i="87"/>
  <c r="L147" i="87"/>
  <c r="M147" i="87"/>
  <c r="N147" i="87"/>
  <c r="G153" i="87"/>
  <c r="H153" i="87"/>
  <c r="I153" i="87"/>
  <c r="J153" i="87"/>
  <c r="K153" i="87"/>
  <c r="L153" i="87"/>
  <c r="M153" i="87"/>
  <c r="N153" i="87"/>
  <c r="G157" i="87"/>
  <c r="H157" i="87"/>
  <c r="I157" i="87"/>
  <c r="J157" i="87"/>
  <c r="K157" i="87"/>
  <c r="L157" i="87"/>
  <c r="M157" i="87"/>
  <c r="N157" i="87"/>
  <c r="G158" i="87"/>
  <c r="H158" i="87"/>
  <c r="I158" i="87"/>
  <c r="J158" i="87"/>
  <c r="K158" i="87"/>
  <c r="L158" i="87"/>
  <c r="M158" i="87"/>
  <c r="N158" i="87"/>
  <c r="G167" i="87"/>
  <c r="H167" i="87"/>
  <c r="I167" i="87"/>
  <c r="J167" i="87"/>
  <c r="K167" i="87"/>
  <c r="L167" i="87"/>
  <c r="M167" i="87"/>
  <c r="N167" i="8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B28" authorId="0" shapeId="0" xr:uid="{F007EB68-79A9-D641-9EE4-F864BA87E659}">
      <text>
        <r>
          <rPr>
            <sz val="9"/>
            <color rgb="FF000000"/>
            <rFont val="Tahoma"/>
            <family val="2"/>
          </rPr>
          <t>Front cover of Apple 2018 10K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7" authorId="0" shapeId="0" xr:uid="{35F2BDEE-5550-4630-8EE5-3EC35543680E}">
      <text>
        <r>
          <rPr>
            <sz val="9"/>
            <color rgb="FF000000"/>
            <rFont val="Tahoma"/>
            <family val="2"/>
          </rPr>
          <t>Front cover of Apple 2018 10K</t>
        </r>
      </text>
    </comment>
    <comment ref="C54" authorId="0" shapeId="0" xr:uid="{2E49E2DC-8655-44B0-8BBE-09AD681834DC}">
      <text>
        <r>
          <rPr>
            <sz val="9"/>
            <color indexed="81"/>
            <rFont val="Tahoma"/>
            <family val="2"/>
          </rPr>
          <t>Includes vendor non-trade receivables</t>
        </r>
      </text>
    </comment>
    <comment ref="C56" authorId="0" shapeId="0" xr:uid="{4B2CB61B-987E-4D31-B59B-18E5C9533511}">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P107" authorId="0" shapeId="0" xr:uid="{ED3A302D-6036-409B-AB22-ADAA5EAEC658}">
      <text>
        <r>
          <rPr>
            <sz val="9"/>
            <color rgb="FF000000"/>
            <rFont val="Tahoma"/>
            <family val="2"/>
          </rPr>
          <t>WSP estimate</t>
        </r>
      </text>
    </comment>
    <comment ref="C123" authorId="0" shapeId="0" xr:uid="{1FBCA9FB-4693-41CE-88BB-EE730F938992}">
      <text>
        <r>
          <rPr>
            <sz val="9"/>
            <color indexed="81"/>
            <rFont val="Tahoma"/>
            <family val="2"/>
          </rPr>
          <t>Statement of shareholders equity schedule, p.41 Apple 2018 10K</t>
        </r>
      </text>
    </comment>
    <comment ref="C124" authorId="0" shapeId="0" xr:uid="{A1F35906-F03B-44B0-A99D-9A4849FCBA86}">
      <text>
        <r>
          <rPr>
            <sz val="9"/>
            <color rgb="FF000000"/>
            <rFont val="Tahoma"/>
            <family val="2"/>
          </rPr>
          <t>Statement of shareholders equity schedule, p.41 Apple 2018 10K</t>
        </r>
      </text>
    </comment>
    <comment ref="E156" authorId="0" shapeId="0" xr:uid="{136E4879-D3D6-4E60-8826-421928D0B699}">
      <text>
        <r>
          <rPr>
            <sz val="9"/>
            <color indexed="81"/>
            <rFont val="Tahoma"/>
            <family val="2"/>
          </rPr>
          <t>2018 Note 5 - Debt. 10K p55</t>
        </r>
      </text>
    </comment>
    <comment ref="F156" authorId="0" shapeId="0" xr:uid="{4D1172A8-99E9-451D-9385-C15B15417D6A}">
      <text>
        <r>
          <rPr>
            <sz val="9"/>
            <color indexed="81"/>
            <rFont val="Tahoma"/>
            <family val="2"/>
          </rPr>
          <t>2018 Note 5 - Debt. 10K p55</t>
        </r>
      </text>
    </comment>
    <comment ref="C162" authorId="0" shapeId="0" xr:uid="{47D362E6-6CA6-4DF8-A57E-CC3C1F8D0DD0}">
      <text>
        <r>
          <rPr>
            <sz val="9"/>
            <color indexed="81"/>
            <rFont val="Tahoma"/>
            <family val="2"/>
          </rPr>
          <t xml:space="preserve">We estimate the historical interest rate (though not explicitly disclosed by Apple). </t>
        </r>
      </text>
    </comment>
    <comment ref="C163" authorId="0" shapeId="0" xr:uid="{F2E66D4E-BACD-4F2C-AAFD-BA032F8E98BE}">
      <text>
        <r>
          <rPr>
            <sz val="9"/>
            <color indexed="81"/>
            <rFont val="Tahoma"/>
            <family val="2"/>
          </rPr>
          <t>Although Apple doesn't disclose interest expense specifically, it does disclose the interest rate on commercial paper which enables us to back into interest expense for LTD</t>
        </r>
      </text>
    </comment>
    <comment ref="D166" authorId="0" shapeId="0" xr:uid="{A67C5BCB-87EE-4AE0-B57B-87AFCF5216C5}">
      <text>
        <r>
          <rPr>
            <sz val="9"/>
            <color indexed="81"/>
            <rFont val="Tahoma"/>
            <family val="2"/>
          </rPr>
          <t>2018 p.27 in the 'Other Income/(Expense), Net' section.</t>
        </r>
      </text>
    </comment>
    <comment ref="E166" authorId="0" shapeId="0" xr:uid="{F9ECDF2C-FF1C-4DE7-A5C3-B12F64EB9D8C}">
      <text>
        <r>
          <rPr>
            <sz val="9"/>
            <color indexed="81"/>
            <rFont val="Tahoma"/>
            <family val="2"/>
          </rPr>
          <t>2018 p.27 in the 'Other Income/(Expense), Net' section.</t>
        </r>
      </text>
    </comment>
    <comment ref="F166" authorId="0" shapeId="0" xr:uid="{249CA96C-C455-49DF-B66D-AA9E92CB3969}">
      <text>
        <r>
          <rPr>
            <sz val="9"/>
            <color indexed="81"/>
            <rFont val="Tahoma"/>
            <family val="2"/>
          </rPr>
          <t>2018 p.27 in the 'Other Income/(Expense), Net' section.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A44" authorId="0" shapeId="0" xr:uid="{4110E3ED-A961-DF42-9146-A8B6437685AC}">
      <text>
        <r>
          <rPr>
            <sz val="9"/>
            <color indexed="81"/>
            <rFont val="Tahoma"/>
            <family val="2"/>
          </rPr>
          <t>Includes vendor non-trade receivables</t>
        </r>
      </text>
    </comment>
    <comment ref="A46" authorId="0" shapeId="0" xr:uid="{0B90D5A6-19DC-B84F-87C1-83E1394B55EB}">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B99" authorId="0" shapeId="0" xr:uid="{ACEBD758-7E25-1249-AF2C-ED62BB9CC076}">
      <text>
        <r>
          <rPr>
            <sz val="9"/>
            <color rgb="FF000000"/>
            <rFont val="Tahoma"/>
            <family val="2"/>
          </rPr>
          <t>WSP estimate</t>
        </r>
      </text>
    </comment>
    <comment ref="A115" authorId="0" shapeId="0" xr:uid="{184090B8-6672-8A4E-8F67-4867573D6FA7}">
      <text>
        <r>
          <rPr>
            <sz val="9"/>
            <color indexed="81"/>
            <rFont val="Tahoma"/>
            <family val="2"/>
          </rPr>
          <t>Statement of shareholders equity schedule, p.41 Apple 2018 10K</t>
        </r>
      </text>
    </comment>
    <comment ref="A116" authorId="0" shapeId="0" xr:uid="{0B47D1FC-1C80-1644-8DC1-0943519BC73B}">
      <text>
        <r>
          <rPr>
            <sz val="9"/>
            <color indexed="81"/>
            <rFont val="Tahoma"/>
            <family val="2"/>
          </rPr>
          <t>Statement of shareholders equity schedule, p.41 Apple 2018 10K</t>
        </r>
      </text>
    </comment>
    <comment ref="A154" authorId="0" shapeId="0" xr:uid="{BF009F15-6B7A-424D-BC09-6305F94FB67A}">
      <text>
        <r>
          <rPr>
            <sz val="9"/>
            <color indexed="81"/>
            <rFont val="Tahoma"/>
            <family val="2"/>
          </rPr>
          <t xml:space="preserve">We estimate the historical interest rate (though not explicitly disclosed by Apple). </t>
        </r>
      </text>
    </comment>
    <comment ref="A155" authorId="0" shapeId="0" xr:uid="{28120D30-184D-8B41-9FF9-9701CFCC4EC8}">
      <text>
        <r>
          <rPr>
            <sz val="9"/>
            <color indexed="81"/>
            <rFont val="Tahoma"/>
            <family val="2"/>
          </rPr>
          <t>Although Apple doesn't disclose interest expense specifically, it does disclose the interest rate on commercial paper which enables us to back into interest expense for LTD</t>
        </r>
      </text>
    </comment>
  </commentList>
</comments>
</file>

<file path=xl/sharedStrings.xml><?xml version="1.0" encoding="utf-8"?>
<sst xmlns="http://schemas.openxmlformats.org/spreadsheetml/2006/main" count="324" uniqueCount="169">
  <si>
    <t>Tax rate</t>
  </si>
  <si>
    <t>Revenue growth</t>
  </si>
  <si>
    <t>Net income</t>
  </si>
  <si>
    <t>Operating profit (EBIT)</t>
  </si>
  <si>
    <t>Interest income</t>
  </si>
  <si>
    <t>Company name</t>
  </si>
  <si>
    <t>Ticker</t>
  </si>
  <si>
    <t>Fiscal year end date</t>
  </si>
  <si>
    <t>Latest fiscal year end date</t>
  </si>
  <si>
    <t>Latest closing share price date</t>
  </si>
  <si>
    <t xml:space="preserve">Fiscal year  </t>
  </si>
  <si>
    <t>Revenue</t>
  </si>
  <si>
    <t>Pretax profit</t>
  </si>
  <si>
    <t>Gross Profit</t>
  </si>
  <si>
    <t>Cost of sales (enter as -)</t>
  </si>
  <si>
    <t>Taxes (enter expense as -)</t>
  </si>
  <si>
    <t>Selling, general &amp; administrative (enter as -)</t>
  </si>
  <si>
    <t>Interest expense (enter as -)</t>
  </si>
  <si>
    <t>Growth rates &amp; margins</t>
  </si>
  <si>
    <t>INCOME STATEMENT</t>
  </si>
  <si>
    <t>BALANCE SHEET</t>
  </si>
  <si>
    <t>Property, plant &amp; equipment</t>
  </si>
  <si>
    <t>Total assets</t>
  </si>
  <si>
    <t>Revolver</t>
  </si>
  <si>
    <t>Total liabilities</t>
  </si>
  <si>
    <t>Total equity</t>
  </si>
  <si>
    <t>Balance check</t>
  </si>
  <si>
    <t>Beginning of period</t>
  </si>
  <si>
    <t>End of period</t>
  </si>
  <si>
    <t>PROPERTY, PLANT &amp; EQUIPMENT</t>
  </si>
  <si>
    <t>Plus: Capital expenditures</t>
  </si>
  <si>
    <t>Less: Depreciation</t>
  </si>
  <si>
    <t>CASH FLOW STATEMENT</t>
  </si>
  <si>
    <t>Depreciation and amortization</t>
  </si>
  <si>
    <t>Cash from operating activities</t>
  </si>
  <si>
    <t>Capital expenditures</t>
  </si>
  <si>
    <t>Cash from investing activities</t>
  </si>
  <si>
    <t>Cash from financing activities</t>
  </si>
  <si>
    <t>Net change in cash during period</t>
  </si>
  <si>
    <t>Revolver needs analysis</t>
  </si>
  <si>
    <t>Interest expense</t>
  </si>
  <si>
    <t>Interest rate on cash</t>
  </si>
  <si>
    <t>INTEREST EXPENSE AND INTEREST INCOME</t>
  </si>
  <si>
    <t xml:space="preserve">Retained earnings </t>
  </si>
  <si>
    <t>Cash at beginning of period (BOP)</t>
  </si>
  <si>
    <t>$ in thousands except per share</t>
  </si>
  <si>
    <t>EBITDA</t>
  </si>
  <si>
    <t>Step</t>
  </si>
  <si>
    <t>Depreciation &amp; amortization</t>
  </si>
  <si>
    <t>Apple</t>
  </si>
  <si>
    <t>AAPL</t>
  </si>
  <si>
    <t>Research &amp; development (enter as -)</t>
  </si>
  <si>
    <t>Other expense, net (enter as -)</t>
  </si>
  <si>
    <t>Accounts receivable</t>
  </si>
  <si>
    <t>Inventories</t>
  </si>
  <si>
    <t>Other non current assets</t>
  </si>
  <si>
    <t>Accounts payable</t>
  </si>
  <si>
    <t>Deferred revenue (current and non current)</t>
  </si>
  <si>
    <t>Other non current liabilities</t>
  </si>
  <si>
    <t>Commercial paper / revolver</t>
  </si>
  <si>
    <t>Common stock</t>
  </si>
  <si>
    <t>Plus: Net income</t>
  </si>
  <si>
    <t>Less: Dividends</t>
  </si>
  <si>
    <t>Less: Repurchases</t>
  </si>
  <si>
    <t>Decreases / (Increases) in working capital assets</t>
  </si>
  <si>
    <t>Increases / (Decreases) in working capital liabilities</t>
  </si>
  <si>
    <t>Long term debt</t>
  </si>
  <si>
    <t>Commercial Paper / Revolver</t>
  </si>
  <si>
    <t>Less: Minimum cash balance</t>
  </si>
  <si>
    <t>Share repurchases</t>
  </si>
  <si>
    <t>Common dividends</t>
  </si>
  <si>
    <t>Adjusted EBITDA</t>
  </si>
  <si>
    <t>Latest closing share price</t>
  </si>
  <si>
    <t>Stock based compensation</t>
  </si>
  <si>
    <t>RETAINED EARNINGS</t>
  </si>
  <si>
    <t>Previous year's revenues x (1+revenue growth rate)</t>
  </si>
  <si>
    <t>Plug = Revenue - Gross Profit</t>
  </si>
  <si>
    <t>Revenue x Gross Profit Margin forecast</t>
  </si>
  <si>
    <t>Gross Profit - R&amp;D - SG&amp;A</t>
  </si>
  <si>
    <t>Pre-tax Profit x Tax Rate forecast</t>
  </si>
  <si>
    <t>Pre-tax Profit less taxes</t>
  </si>
  <si>
    <t>Reference from interest expense schedule</t>
  </si>
  <si>
    <t>Reference from interest on cash schedule</t>
  </si>
  <si>
    <t>EBIT + interest income less interest expense less other expense</t>
  </si>
  <si>
    <t>EBIT + D&amp;A</t>
  </si>
  <si>
    <t>EBITDA + Stock-based compensation</t>
  </si>
  <si>
    <t>WSP assumption: grow SBC in-line with revenue growth</t>
  </si>
  <si>
    <t>WSP assumption: straight-line</t>
  </si>
  <si>
    <t>Reference from income statement</t>
  </si>
  <si>
    <t>Equals: Cash available (needed) to pay down (draw from) revolver</t>
  </si>
  <si>
    <t>Grow in-line with revenue growth</t>
  </si>
  <si>
    <t>Grow in-line with cost of sales growth</t>
  </si>
  <si>
    <t>Reference from PP&amp;E schedule</t>
  </si>
  <si>
    <t>Reference from revolver schedule</t>
  </si>
  <si>
    <t>Reference from Retained Earnings schedule</t>
  </si>
  <si>
    <t>Other current assets</t>
  </si>
  <si>
    <t>Circ break 1=off, 0=on</t>
  </si>
  <si>
    <t xml:space="preserve">Depreciation &amp; Amortization - Total </t>
  </si>
  <si>
    <t>Weighted average interest rate</t>
  </si>
  <si>
    <t>End of period balance (from B/S)</t>
  </si>
  <si>
    <t>Commercial paper / Revolver</t>
  </si>
  <si>
    <t>Interest rate x average of BOP &amp; EOP LTD balances</t>
  </si>
  <si>
    <t>Weighted average interest rate on cash</t>
  </si>
  <si>
    <t>Forecast</t>
  </si>
  <si>
    <t>Other current liabilities</t>
  </si>
  <si>
    <t>Reference from 'net change in cash' line on the cash flow statement</t>
  </si>
  <si>
    <t>Debt balance:</t>
  </si>
  <si>
    <t>Other comprehensive income</t>
  </si>
  <si>
    <t>Long term debt (includes current portion)</t>
  </si>
  <si>
    <t>D&amp;A related to PP&amp;E as a % of capex</t>
  </si>
  <si>
    <t xml:space="preserve">Plus: Additions </t>
  </si>
  <si>
    <t>WSP assumption</t>
  </si>
  <si>
    <t>Reference additions to 'other non-current assets' from schedule</t>
  </si>
  <si>
    <t>OTHER NON-CURRENT ASSETS</t>
  </si>
  <si>
    <t>IMPUTING TOTAL DEPRECIATION &amp; AMORTIZATION</t>
  </si>
  <si>
    <t>REVOLVER (MODEL PLUG)</t>
  </si>
  <si>
    <t>WSP assumption: Straight-line</t>
  </si>
  <si>
    <t>Cash &amp; equivalents, ST and LT marketable securities</t>
  </si>
  <si>
    <t>JP Morgan estimates through 2021; straight-line growth rate thereafter</t>
  </si>
  <si>
    <t>JP Morgan estimates through 2021; straight-line margin thereafter</t>
  </si>
  <si>
    <t>JP Morgan estimates through 2021: straight-line margin thereafter</t>
  </si>
  <si>
    <t>JP Morgan through 2021; WSP assumption thereafter</t>
  </si>
  <si>
    <t>Increase by stock-based compensation forecasted in the I/S section</t>
  </si>
  <si>
    <r>
      <t xml:space="preserve">D&amp;A </t>
    </r>
    <r>
      <rPr>
        <u/>
        <sz val="11"/>
        <color theme="1"/>
        <rFont val="Calibri"/>
        <family val="2"/>
        <scheme val="minor"/>
      </rPr>
      <t>not</t>
    </r>
    <r>
      <rPr>
        <sz val="11"/>
        <color theme="1"/>
        <rFont val="Calibri"/>
        <family val="2"/>
        <scheme val="minor"/>
      </rPr>
      <t xml:space="preserve"> related to PP&amp;E</t>
    </r>
  </si>
  <si>
    <t>as % of revenue</t>
  </si>
  <si>
    <t>Straight line last historical % of revenue - WSP assumption</t>
  </si>
  <si>
    <t>Reference from D&amp;A schedule</t>
  </si>
  <si>
    <t>D&amp;A from PP&amp;E + D&amp;A not from PP&amp;E</t>
  </si>
  <si>
    <r>
      <t xml:space="preserve">Less: D&amp;A </t>
    </r>
    <r>
      <rPr>
        <u/>
        <sz val="11"/>
        <color theme="1"/>
        <rFont val="Calibri"/>
        <family val="2"/>
        <scheme val="minor"/>
      </rPr>
      <t>not</t>
    </r>
    <r>
      <rPr>
        <sz val="11"/>
        <color theme="1"/>
        <rFont val="Calibri"/>
        <family val="2"/>
        <scheme val="minor"/>
      </rPr>
      <t xml:space="preserve"> related to PP&amp;E</t>
    </r>
  </si>
  <si>
    <t xml:space="preserve">Assume all D&amp;A not from PP&amp;E is in non-current assets </t>
  </si>
  <si>
    <t>WSP assumption: Straight-line last historical year dividends</t>
  </si>
  <si>
    <t>BOP + net income - dividends - repurchases</t>
  </si>
  <si>
    <t>BOP + Capex - Depreciation</t>
  </si>
  <si>
    <t>Capex x 'D&amp;A related to PP&amp;E as a % of capex' ratio (below)</t>
  </si>
  <si>
    <t xml:space="preserve">BOP = Previous year EOP </t>
  </si>
  <si>
    <t>Because we already know the EOP balance, this is a plug: EOP - D&amp;A not from PP&amp;E - BOP</t>
  </si>
  <si>
    <t>Referenced from balance sheet</t>
  </si>
  <si>
    <t>Reference prior period EOP from B/S</t>
  </si>
  <si>
    <t>Plus: Current period cash flows except revolver</t>
  </si>
  <si>
    <r>
      <t xml:space="preserve">CFO + CFI + CFF </t>
    </r>
    <r>
      <rPr>
        <u/>
        <sz val="11"/>
        <color theme="1"/>
        <rFont val="Calibri"/>
        <family val="2"/>
        <scheme val="minor"/>
      </rPr>
      <t>except revolver</t>
    </r>
  </si>
  <si>
    <t>Draw / (paydown)</t>
  </si>
  <si>
    <t>Additional discretionary draw / (paydown)</t>
  </si>
  <si>
    <t>Interest expense from revolver/CP + interest expense from long term debt</t>
  </si>
  <si>
    <t xml:space="preserve">Cash (paydown) / additional borrowing from revolver/CP. Paydown not to exceed BOP balance. </t>
  </si>
  <si>
    <t>Interest rate x average of BOP &amp; EOP revolver balances (circularity)</t>
  </si>
  <si>
    <t>Reference from revolver / CP schedule above</t>
  </si>
  <si>
    <t xml:space="preserve">Total interest expense </t>
  </si>
  <si>
    <t>Reference from B/S</t>
  </si>
  <si>
    <t>Interest rate x average of BOP &amp; EOP B/S cash  (circularity)</t>
  </si>
  <si>
    <t xml:space="preserve">Interest expense </t>
  </si>
  <si>
    <t>Gross profit margin</t>
  </si>
  <si>
    <t>R&amp;D % of sales</t>
  </si>
  <si>
    <t>Revenue x R&amp;D % of sales forecast</t>
  </si>
  <si>
    <t>SG&amp;A % of sales</t>
  </si>
  <si>
    <t>Revenue x SG&amp;A % of sales forecast</t>
  </si>
  <si>
    <t>WSP assumption: Straight-line last historical year repurchases</t>
  </si>
  <si>
    <t>Revenue x 'as % of revenue' assumption</t>
  </si>
  <si>
    <t>Shares outstanding (millions)</t>
  </si>
  <si>
    <t xml:space="preserve"> </t>
  </si>
  <si>
    <r>
      <t xml:space="preserve">Straight-line // </t>
    </r>
    <r>
      <rPr>
        <b/>
        <sz val="11"/>
        <color theme="9"/>
        <rFont val="Calibri (Body)"/>
      </rPr>
      <t>Average of last 3 years **</t>
    </r>
  </si>
  <si>
    <t xml:space="preserve">Dividend Payout Ratio </t>
  </si>
  <si>
    <t xml:space="preserve">Repurchase as percent of net income </t>
  </si>
  <si>
    <t xml:space="preserve">Alternative Approach for Retained Earning Calculation </t>
  </si>
  <si>
    <t>Assumptions &amp; Comments</t>
  </si>
  <si>
    <t xml:space="preserve">ADDITIONAL CALCULATIONS </t>
  </si>
  <si>
    <t xml:space="preserve">FINANCIAL STATEMENT MODEL                                                                                                                                                                                                                                                                                                                                                                                                                                                                                                                         APPLE (AAPL)                                 </t>
  </si>
  <si>
    <t xml:space="preserve">ASSUMPTIONS &amp; COMMENTS APPLE (AAPL) </t>
  </si>
  <si>
    <t>APPLE</t>
  </si>
  <si>
    <t xml:space="preserve">3- STATEMENT FINANCIAL MODEL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</si>
</sst>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4">
    <numFmt numFmtId="43" formatCode="_(* #,##0.00_);_(* \(#,##0.00\);_(* &quot;-&quot;??_);_(@_)"/>
    <numFmt numFmtId="164" formatCode="&quot;$&quot;#,##0_);\(&quot;$&quot;#,##0\)"/>
    <numFmt numFmtId="165" formatCode="&quot;$&quot;#,##0_);[Red]\(&quot;$&quot;#,##0\)"/>
    <numFmt numFmtId="166" formatCode="&quot;$&quot;#,##0.00_);\(&quot;$&quot;#,##0.00\)"/>
    <numFmt numFmtId="167" formatCode="&quot;$&quot;#,##0.00_);[Red]\(&quot;$&quot;#,##0.00\)"/>
    <numFmt numFmtId="168" formatCode="0.0%_);\(0.0%\);@_)"/>
    <numFmt numFmtId="170" formatCode="#,##0.00_);\(#,##0\)"/>
    <numFmt numFmtId="171" formatCode="#,##0.0%_);\(#,##0.0%\)"/>
    <numFmt numFmtId="172" formatCode="0.0\ \x"/>
    <numFmt numFmtId="173" formatCode="#,##0.00\ ;\(#,##0.00\)"/>
    <numFmt numFmtId="174" formatCode="&quot;$&quot;#,##0.00\ ;\(&quot;$&quot;#,##0.00\)"/>
    <numFmt numFmtId="175" formatCode="0.0%_);\(0.0%\)"/>
    <numFmt numFmtId="176" formatCode="0.000\ \x&quot;rate&quot;"/>
    <numFmt numFmtId="177" formatCode="#,##0.000_);[Red]\(#,##0.000\)"/>
    <numFmt numFmtId="178" formatCode="0.00_);\(0.00\);0.00"/>
    <numFmt numFmtId="179" formatCode="\C&quot;$&quot;#,##0.00_);[Red]\(&quot;$&quot;#,##0.00\)"/>
    <numFmt numFmtId="180" formatCode="#,##0%_);\(#,##0.0%\)"/>
    <numFmt numFmtId="181" formatCode="_(* #,##0.00000000_);_(* \(#,##0.00000000\);_(* &quot;-&quot;?_);_(@_)"/>
    <numFmt numFmtId="182" formatCode="mmm\-d\-yyyy"/>
    <numFmt numFmtId="183" formatCode="mmm\-yyyy"/>
    <numFmt numFmtId="184" formatCode="yyyy"/>
    <numFmt numFmtId="185" formatCode="0.00\x&quot;rate&quot;"/>
    <numFmt numFmtId="186" formatCode="0.0&quot;  &quot;"/>
    <numFmt numFmtId="187" formatCode="&quot;$&quot;#,##0.0\ ;[Red]\(&quot;$&quot;#,##0\)"/>
    <numFmt numFmtId="188" formatCode="&quot;$&quot;#,##0.000_);[Red]\(&quot;$&quot;#,##0.000\)"/>
    <numFmt numFmtId="189" formatCode="&quot;$&quot;#,##0.00&quot;A&quot;;[Red]\(&quot;$&quot;#,##0.00\)&quot;A&quot;"/>
    <numFmt numFmtId="190" formatCode="#,##0.0\ ;[Red]\(&quot;$&quot;#,##0\)"/>
    <numFmt numFmtId="191" formatCode="&quot;$&quot;#,##0.00&quot;E&quot;;[Red]\(&quot;$&quot;#,##0.00\)&quot;E&quot;"/>
    <numFmt numFmtId="192" formatCode="_([$€-2]* #,##0.00_);_([$€-2]* \(#,##0.00\);_([$€-2]* &quot;-&quot;??_)"/>
    <numFmt numFmtId="193" formatCode="#,##0.00;\(#,##0.00\)"/>
    <numFmt numFmtId="194" formatCode=".%\,\(0.0%%;\t"/>
    <numFmt numFmtId="195" formatCode="#,##0.0_);[Red]\(#,##0.0\)"/>
    <numFmt numFmtId="196" formatCode="0.0%_);[Red]\(0.0%\)"/>
    <numFmt numFmtId="197" formatCode="0.00_);\(0.00\);0.00_)"/>
    <numFmt numFmtId="198" formatCode="0.0%"/>
    <numFmt numFmtId="199" formatCode="#,##0\x"/>
    <numFmt numFmtId="200" formatCode="&quot;TKR&quot;\ 0"/>
    <numFmt numFmtId="201" formatCode=".%\,\(0.%%;\t"/>
    <numFmt numFmtId="202" formatCode="&quot;$&quot;#,###.0\ \ "/>
    <numFmt numFmtId="203" formatCode="#,##0.00\x_);[Red]\(#,##0.00\x\)"/>
    <numFmt numFmtId="204" formatCode="#,##0.0_);\(#,##0.0\)"/>
    <numFmt numFmtId="205" formatCode="#,##0.000_);\(#,##0.000\)"/>
    <numFmt numFmtId="206" formatCode="#,##0.00\x_);[Red]\(#,##0.00\x\);&quot;--  &quot;"/>
    <numFmt numFmtId="207" formatCode="_(* #,##0.0_);_(* \(#,##0.0\);_(* &quot;-&quot;??_);_(@_)"/>
    <numFmt numFmtId="208" formatCode="0.0\x_);[Red]\(0.0\x\)"/>
    <numFmt numFmtId="209" formatCode="0.0\ "/>
    <numFmt numFmtId="210" formatCode="&quot;$&quot;#,##0.0;\(&quot;$&quot;#,##0.00\)"/>
    <numFmt numFmtId="211" formatCode="#,##0.00%_);\(#,##0.00%\)"/>
    <numFmt numFmtId="212" formatCode="0.00\%;\-0.00\%;0.00\%"/>
    <numFmt numFmtId="213" formatCode="0.0%\ ;\(0.0%\)"/>
    <numFmt numFmtId="214" formatCode="_(&quot;$&quot;* #,##0_);_(&quot;$&quot;* \(#,##0\);_(&quot;$&quot;* &quot;-&quot;??_);_(@_)"/>
    <numFmt numFmtId="215" formatCode="&quot;$&quot;0.00\ "/>
    <numFmt numFmtId="216" formatCode="0.0\ \ \ \ \ "/>
    <numFmt numFmtId="217" formatCode="0.00\x;\-0.00\x;0.00\x"/>
    <numFmt numFmtId="218" formatCode="&quot;$&quot;#,##0.000_);\(&quot;$&quot;#,##0.000\)"/>
    <numFmt numFmtId="219" formatCode="#,##0.0_);\(#,##0.0\);_(* &quot;-&quot;_)"/>
    <numFmt numFmtId="220" formatCode="_(&quot;$&quot;* #,##0.00_);_(&quot;$&quot;* \(#,##0.00\);_(* &quot;-&quot;_);_(@_)"/>
    <numFmt numFmtId="221" formatCode="0.00%_);[Red]\(0.00%\)"/>
    <numFmt numFmtId="222" formatCode="#,##0.0\x_);\(#,##0.0\x\)"/>
    <numFmt numFmtId="223" formatCode="#,##0.00\x_);\(#,##0.00\x\)"/>
    <numFmt numFmtId="224" formatCode="###0&quot;E&quot;_)"/>
    <numFmt numFmtId="225" formatCode="0\A;[Red]0\A"/>
    <numFmt numFmtId="226" formatCode="0\P_);\(0\P\)"/>
    <numFmt numFmtId="227" formatCode="m/d/yy;@"/>
    <numFmt numFmtId="229" formatCode="0.00%_);\(0.00%\);@_)"/>
    <numFmt numFmtId="231" formatCode="[&gt;1]&quot;10Q: &quot;0&quot; qtrs&quot;;&quot;10Q: &quot;0&quot; qtr&quot;"/>
    <numFmt numFmtId="232" formatCode="&quot;$&quot;#,##0.00_);[Red]\(&quot;$&quot;#,##0.00\);&quot;--  &quot;;_(@_)"/>
    <numFmt numFmtId="233" formatCode="mmm\-dd\-yy"/>
    <numFmt numFmtId="234" formatCode="mmm\-dd\-yyyy"/>
    <numFmt numFmtId="235" formatCode="#,##0.0_);[Red]\(#,##0.0\);&quot;--  &quot;"/>
    <numFmt numFmtId="236" formatCode="0.00\x"/>
    <numFmt numFmtId="237" formatCode="0.0&quot; years&quot;"/>
    <numFmt numFmtId="238" formatCode="_(#,##0.0%_);\(#,##0.0%\);_(&quot;–&quot;_)_%;_(@_)_%"/>
    <numFmt numFmtId="239" formatCode="_(#,##0_)_%;\(#,##0\)_%;_(&quot;–&quot;_)_%;_(@_)_%"/>
  </numFmts>
  <fonts count="94">
    <font>
      <sz val="11"/>
      <color theme="1"/>
      <name val="Calibri"/>
      <family val="2"/>
      <scheme val="minor"/>
    </font>
    <font>
      <sz val="11"/>
      <color rgb="FF0000FF"/>
      <name val="Calibri"/>
      <family val="2"/>
      <scheme val="minor"/>
    </font>
    <font>
      <sz val="11"/>
      <color rgb="FF000000"/>
      <name val="Calibri"/>
      <family val="2"/>
      <scheme val="minor"/>
    </font>
    <font>
      <sz val="10"/>
      <name val="GillSans"/>
    </font>
    <font>
      <sz val="8"/>
      <color indexed="49"/>
      <name val="Times New Roman"/>
      <family val="1"/>
    </font>
    <font>
      <sz val="10"/>
      <name val="Arial"/>
      <family val="2"/>
    </font>
    <font>
      <sz val="10"/>
      <name val="Trebuchet MS"/>
      <family val="2"/>
    </font>
    <font>
      <sz val="11"/>
      <color indexed="8"/>
      <name val="Calibri"/>
      <family val="2"/>
    </font>
    <font>
      <sz val="11"/>
      <color indexed="9"/>
      <name val="Calibri"/>
      <family val="2"/>
    </font>
    <font>
      <sz val="11"/>
      <color indexed="20"/>
      <name val="Calibri"/>
      <family val="2"/>
    </font>
    <font>
      <sz val="8"/>
      <name val="Times New Roman"/>
      <family val="1"/>
    </font>
    <font>
      <sz val="10"/>
      <name val="Times New Roman"/>
      <family val="1"/>
    </font>
    <font>
      <b/>
      <sz val="18"/>
      <name val="Tms Rmn"/>
    </font>
    <font>
      <b/>
      <sz val="11"/>
      <color indexed="52"/>
      <name val="Calibri"/>
      <family val="2"/>
    </font>
    <font>
      <b/>
      <sz val="11"/>
      <color indexed="9"/>
      <name val="Calibri"/>
      <family val="2"/>
    </font>
    <font>
      <b/>
      <sz val="7"/>
      <name val="GillSans"/>
    </font>
    <font>
      <sz val="10"/>
      <name val="Geneva"/>
      <family val="2"/>
    </font>
    <font>
      <sz val="24"/>
      <name val="Arial"/>
      <family val="2"/>
    </font>
    <font>
      <sz val="8"/>
      <name val="Arial"/>
      <family val="2"/>
    </font>
    <font>
      <sz val="10"/>
      <name val="Helvetica"/>
      <family val="2"/>
    </font>
    <font>
      <b/>
      <sz val="8"/>
      <name val="Arial"/>
      <family val="2"/>
    </font>
    <font>
      <b/>
      <sz val="8"/>
      <name val="Times New Roman"/>
      <family val="1"/>
    </font>
    <font>
      <i/>
      <sz val="11"/>
      <color indexed="23"/>
      <name val="Calibri"/>
      <family val="2"/>
    </font>
    <font>
      <sz val="11"/>
      <color indexed="17"/>
      <name val="Calibri"/>
      <family val="2"/>
    </font>
    <font>
      <i/>
      <sz val="8"/>
      <color indexed="17"/>
      <name val="Times New Roman"/>
      <family val="1"/>
    </font>
    <font>
      <sz val="8"/>
      <color indexed="21"/>
      <name val="Arial"/>
      <family val="2"/>
    </font>
    <font>
      <b/>
      <sz val="15"/>
      <color indexed="56"/>
      <name val="Calibri"/>
      <family val="2"/>
    </font>
    <font>
      <b/>
      <sz val="13"/>
      <color indexed="56"/>
      <name val="Calibri"/>
      <family val="2"/>
    </font>
    <font>
      <b/>
      <sz val="11"/>
      <color indexed="56"/>
      <name val="Calibri"/>
      <family val="2"/>
    </font>
    <font>
      <sz val="10"/>
      <color indexed="12"/>
      <name val="Trebuchet MS"/>
      <family val="2"/>
    </font>
    <font>
      <sz val="10"/>
      <name val="MS Sans Serif"/>
      <family val="2"/>
    </font>
    <font>
      <sz val="11"/>
      <color indexed="62"/>
      <name val="Calibri"/>
      <family val="2"/>
    </font>
    <font>
      <b/>
      <sz val="10"/>
      <color indexed="9"/>
      <name val="Tms Rmn"/>
    </font>
    <font>
      <b/>
      <sz val="10"/>
      <name val="Arial"/>
      <family val="2"/>
    </font>
    <font>
      <sz val="11"/>
      <color indexed="52"/>
      <name val="Calibri"/>
      <family val="2"/>
    </font>
    <font>
      <sz val="8"/>
      <color indexed="18"/>
      <name val="Times New Roman"/>
      <family val="1"/>
    </font>
    <font>
      <sz val="11"/>
      <color indexed="60"/>
      <name val="Calibri"/>
      <family val="2"/>
    </font>
    <font>
      <b/>
      <sz val="11"/>
      <color indexed="63"/>
      <name val="Calibri"/>
      <family val="2"/>
    </font>
    <font>
      <sz val="10"/>
      <name val="Palatino"/>
      <family val="1"/>
    </font>
    <font>
      <sz val="12"/>
      <name val="Baskerville MT"/>
    </font>
    <font>
      <u/>
      <sz val="10"/>
      <name val="GillSans"/>
      <family val="2"/>
    </font>
    <font>
      <sz val="10"/>
      <name val="GillSans Light"/>
    </font>
    <font>
      <b/>
      <sz val="12"/>
      <name val="Arial"/>
      <family val="2"/>
    </font>
    <font>
      <b/>
      <sz val="16"/>
      <name val="Arial"/>
      <family val="2"/>
    </font>
    <font>
      <sz val="8"/>
      <name val="MS Sans Serif"/>
      <family val="2"/>
    </font>
    <font>
      <sz val="8.25"/>
      <color indexed="8"/>
      <name val="Arial"/>
      <family val="2"/>
    </font>
    <font>
      <b/>
      <u val="singleAccounting"/>
      <sz val="8"/>
      <color indexed="8"/>
      <name val="Arial"/>
      <family val="2"/>
    </font>
    <font>
      <sz val="8"/>
      <color indexed="8"/>
      <name val="Arial"/>
      <family val="2"/>
    </font>
    <font>
      <sz val="8"/>
      <color indexed="39"/>
      <name val="Arial"/>
      <family val="2"/>
    </font>
    <font>
      <sz val="7"/>
      <name val="Times New Roman"/>
      <family val="1"/>
    </font>
    <font>
      <sz val="7"/>
      <color indexed="17"/>
      <name val="Times New Roman"/>
      <family val="1"/>
    </font>
    <font>
      <sz val="7"/>
      <color indexed="18"/>
      <name val="Times New Roman"/>
      <family val="1"/>
    </font>
    <font>
      <b/>
      <sz val="12"/>
      <name val="GillSans"/>
      <family val="2"/>
    </font>
    <font>
      <b/>
      <sz val="18"/>
      <color indexed="56"/>
      <name val="Cambria"/>
      <family val="2"/>
    </font>
    <font>
      <b/>
      <sz val="11"/>
      <name val="GillSans"/>
    </font>
    <font>
      <b/>
      <sz val="8"/>
      <color indexed="18"/>
      <name val="Times New Roman"/>
      <family val="1"/>
    </font>
    <font>
      <i/>
      <sz val="8"/>
      <name val="Times New Roman"/>
      <family val="1"/>
    </font>
    <font>
      <u/>
      <sz val="11"/>
      <name val="GillSans"/>
      <family val="2"/>
    </font>
    <font>
      <b/>
      <sz val="11"/>
      <color indexed="8"/>
      <name val="Calibri"/>
      <family val="2"/>
    </font>
    <font>
      <sz val="11"/>
      <color indexed="10"/>
      <name val="Calibri"/>
      <family val="2"/>
    </font>
    <font>
      <b/>
      <sz val="11"/>
      <color rgb="FF000000"/>
      <name val="Calibri"/>
      <family val="2"/>
      <scheme val="minor"/>
    </font>
    <font>
      <sz val="9"/>
      <color indexed="81"/>
      <name val="Tahoma"/>
      <family val="2"/>
    </font>
    <font>
      <i/>
      <sz val="11"/>
      <color rgb="FF000000"/>
      <name val="Calibri"/>
      <family val="2"/>
      <scheme val="minor"/>
    </font>
    <font>
      <b/>
      <sz val="11"/>
      <color theme="1"/>
      <name val="Calibri"/>
      <family val="2"/>
      <scheme val="minor"/>
    </font>
    <font>
      <i/>
      <sz val="11"/>
      <color theme="1"/>
      <name val="Calibri"/>
      <family val="2"/>
      <scheme val="minor"/>
    </font>
    <font>
      <i/>
      <sz val="11"/>
      <color rgb="FF0000FF"/>
      <name val="Calibri"/>
      <family val="2"/>
      <scheme val="minor"/>
    </font>
    <font>
      <u/>
      <sz val="11"/>
      <color theme="1"/>
      <name val="Calibri"/>
      <family val="2"/>
      <scheme val="minor"/>
    </font>
    <font>
      <sz val="10"/>
      <color indexed="8"/>
      <name val="Arial"/>
      <family val="2"/>
    </font>
    <font>
      <b/>
      <sz val="8"/>
      <color indexed="8"/>
      <name val="Verdana"/>
      <family val="2"/>
    </font>
    <font>
      <sz val="8"/>
      <color indexed="12"/>
      <name val="Arial"/>
      <family val="2"/>
    </font>
    <font>
      <sz val="1"/>
      <color indexed="9"/>
      <name val="Symbol"/>
      <family val="1"/>
      <charset val="2"/>
    </font>
    <font>
      <sz val="11"/>
      <color indexed="8"/>
      <name val="Calibri"/>
      <family val="2"/>
      <scheme val="minor"/>
    </font>
    <font>
      <b/>
      <u val="singleAccounting"/>
      <sz val="8"/>
      <color indexed="8"/>
      <name val="Verdana"/>
      <family val="2"/>
    </font>
    <font>
      <b/>
      <sz val="10"/>
      <color indexed="9"/>
      <name val="Arial"/>
      <family val="2"/>
    </font>
    <font>
      <b/>
      <sz val="12"/>
      <color indexed="8"/>
      <name val="Verdana"/>
      <family val="2"/>
    </font>
    <font>
      <sz val="8"/>
      <color indexed="10"/>
      <name val="Arial"/>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i/>
      <sz val="8"/>
      <color indexed="8"/>
      <name val="Arial"/>
      <family val="2"/>
    </font>
    <font>
      <b/>
      <sz val="13"/>
      <color indexed="8"/>
      <name val="Verdana"/>
      <family val="2"/>
    </font>
    <font>
      <sz val="11"/>
      <name val="Calibri"/>
      <family val="2"/>
      <scheme val="minor"/>
    </font>
    <font>
      <b/>
      <u/>
      <sz val="11"/>
      <color theme="1"/>
      <name val="Calibri"/>
      <family val="2"/>
      <scheme val="minor"/>
    </font>
    <font>
      <sz val="8"/>
      <color rgb="FFFF0000"/>
      <name val="Calibri"/>
      <family val="2"/>
      <scheme val="minor"/>
    </font>
    <font>
      <sz val="9"/>
      <color rgb="FF008000"/>
      <name val="Calibri"/>
      <family val="2"/>
      <scheme val="minor"/>
    </font>
    <font>
      <sz val="11"/>
      <color theme="1"/>
      <name val="Calibri"/>
      <family val="2"/>
      <scheme val="minor"/>
    </font>
    <font>
      <sz val="9"/>
      <color rgb="FF000000"/>
      <name val="Tahoma"/>
      <family val="2"/>
    </font>
    <font>
      <b/>
      <sz val="11"/>
      <color theme="9"/>
      <name val="Calibri (Body)"/>
    </font>
    <font>
      <sz val="11"/>
      <color rgb="FFFF0000"/>
      <name val="Calibri"/>
      <family val="2"/>
      <scheme val="minor"/>
    </font>
    <font>
      <b/>
      <sz val="26"/>
      <color theme="1"/>
      <name val="Calibri"/>
      <family val="2"/>
      <scheme val="minor"/>
    </font>
    <font>
      <b/>
      <sz val="28"/>
      <color theme="1"/>
      <name val="Calibri (Body)"/>
    </font>
    <font>
      <b/>
      <sz val="36"/>
      <color theme="1"/>
      <name val="Calibri"/>
      <family val="2"/>
      <scheme val="minor"/>
    </font>
    <font>
      <u/>
      <sz val="11"/>
      <color theme="10"/>
      <name val="Calibri"/>
      <family val="2"/>
      <scheme val="minor"/>
    </font>
  </fonts>
  <fills count="40">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indexed="60"/>
        <bgColor indexed="64"/>
      </patternFill>
    </fill>
    <fill>
      <patternFill patternType="solid">
        <fgColor rgb="FF808080"/>
        <bgColor indexed="64"/>
      </patternFill>
    </fill>
    <fill>
      <patternFill patternType="solid">
        <fgColor indexed="62"/>
        <bgColor indexed="64"/>
      </patternFill>
    </fill>
    <fill>
      <patternFill patternType="solid">
        <fgColor indexed="63"/>
        <bgColor indexed="64"/>
      </patternFill>
    </fill>
    <fill>
      <patternFill patternType="solid">
        <fgColor indexed="56"/>
        <bgColor indexed="64"/>
      </patternFill>
    </fill>
    <fill>
      <patternFill patternType="solid">
        <fgColor rgb="FFFCE5CD"/>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5" tint="0.59999389629810485"/>
        <bgColor indexed="64"/>
      </patternFill>
    </fill>
  </fills>
  <borders count="33">
    <border>
      <left/>
      <right/>
      <top/>
      <bottom/>
      <diagonal/>
    </border>
    <border>
      <left/>
      <right/>
      <top/>
      <bottom style="thin">
        <color rgb="FF000000"/>
      </bottom>
      <diagonal/>
    </border>
    <border>
      <left style="thin">
        <color indexed="23"/>
      </left>
      <right style="thin">
        <color indexed="23"/>
      </right>
      <top style="thin">
        <color indexed="23"/>
      </top>
      <bottom style="thin">
        <color indexed="23"/>
      </bottom>
      <diagonal/>
    </border>
    <border>
      <left/>
      <right/>
      <top/>
      <bottom style="double">
        <color auto="1"/>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right style="thin">
        <color auto="1"/>
      </right>
      <top/>
      <bottom/>
      <diagonal/>
    </border>
    <border>
      <left style="thin">
        <color indexed="9"/>
      </left>
      <right style="thin">
        <color indexed="9"/>
      </right>
      <top/>
      <bottom/>
      <diagonal/>
    </border>
    <border>
      <left style="thin">
        <color auto="1"/>
      </left>
      <right style="thin">
        <color auto="1"/>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auto="1"/>
      </right>
      <top style="thin">
        <color auto="1"/>
      </top>
      <bottom/>
      <diagonal/>
    </border>
    <border>
      <left/>
      <right/>
      <top/>
      <bottom style="thick">
        <color auto="1"/>
      </bottom>
      <diagonal/>
    </border>
    <border>
      <left/>
      <right/>
      <top style="thin">
        <color indexed="62"/>
      </top>
      <bottom style="double">
        <color indexed="62"/>
      </bottom>
      <diagonal/>
    </border>
    <border>
      <left/>
      <right/>
      <top style="medium">
        <color rgb="FF000000"/>
      </top>
      <bottom style="medium">
        <color rgb="FF000000"/>
      </bottom>
      <diagonal/>
    </border>
    <border>
      <left/>
      <right/>
      <top/>
      <bottom style="medium">
        <color rgb="FF000000"/>
      </bottom>
      <diagonal/>
    </border>
    <border>
      <left style="thin">
        <color indexed="23"/>
      </left>
      <right style="thin">
        <color indexed="23"/>
      </right>
      <top/>
      <bottom/>
      <diagonal/>
    </border>
    <border>
      <left style="thin">
        <color auto="1"/>
      </left>
      <right style="thin">
        <color auto="1"/>
      </right>
      <top/>
      <bottom style="thin">
        <color auto="1"/>
      </bottom>
      <diagonal/>
    </border>
    <border>
      <left/>
      <right style="hair">
        <color rgb="FF000000"/>
      </right>
      <top/>
      <bottom/>
      <diagonal/>
    </border>
    <border>
      <left/>
      <right/>
      <top style="medium">
        <color rgb="FF000000"/>
      </top>
      <bottom/>
      <diagonal/>
    </border>
    <border>
      <left style="hair">
        <color rgb="FF000000"/>
      </left>
      <right style="hair">
        <color rgb="FF000000"/>
      </right>
      <top style="hair">
        <color rgb="FF000000"/>
      </top>
      <bottom style="hair">
        <color rgb="FF000000"/>
      </bottom>
      <diagonal/>
    </border>
    <border>
      <left/>
      <right/>
      <top/>
      <bottom style="hair">
        <color rgb="FF000000"/>
      </bottom>
      <diagonal/>
    </border>
    <border>
      <left/>
      <right/>
      <top style="thin">
        <color rgb="FF000000"/>
      </top>
      <bottom/>
      <diagonal/>
    </border>
    <border>
      <left/>
      <right/>
      <top style="hair">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top style="thin">
        <color indexed="64"/>
      </top>
      <bottom/>
      <diagonal/>
    </border>
  </borders>
  <cellStyleXfs count="211">
    <xf numFmtId="0" fontId="0" fillId="0" borderId="0"/>
    <xf numFmtId="0" fontId="3" fillId="0" borderId="0"/>
    <xf numFmtId="170" fontId="3" fillId="0" borderId="0">
      <alignment horizontal="right"/>
    </xf>
    <xf numFmtId="171" fontId="3" fillId="2" borderId="0"/>
    <xf numFmtId="172" fontId="3" fillId="2" borderId="0"/>
    <xf numFmtId="173" fontId="3" fillId="2" borderId="0"/>
    <xf numFmtId="174" fontId="3" fillId="2" borderId="0">
      <alignment horizontal="right"/>
    </xf>
    <xf numFmtId="175" fontId="4" fillId="0" borderId="0" applyFont="0" applyFill="0" applyBorder="0" applyAlignment="0" applyProtection="0"/>
    <xf numFmtId="0" fontId="5" fillId="0" borderId="0" applyNumberFormat="0" applyFont="0" applyFill="0" applyBorder="0" applyAlignment="0" applyProtection="0"/>
    <xf numFmtId="176" fontId="6" fillId="0" borderId="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6" borderId="0" applyNumberFormat="0" applyBorder="0" applyAlignment="0" applyProtection="0"/>
    <xf numFmtId="0" fontId="7" fillId="9" borderId="0" applyNumberFormat="0" applyBorder="0" applyAlignment="0" applyProtection="0"/>
    <xf numFmtId="0" fontId="7" fillId="12" borderId="0" applyNumberFormat="0" applyBorder="0" applyAlignment="0" applyProtection="0"/>
    <xf numFmtId="0" fontId="8" fillId="13"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20" borderId="0" applyNumberFormat="0" applyBorder="0" applyAlignment="0" applyProtection="0"/>
    <xf numFmtId="0" fontId="6" fillId="0" borderId="0"/>
    <xf numFmtId="0" fontId="9" fillId="4" borderId="0" applyNumberFormat="0" applyBorder="0" applyAlignment="0" applyProtection="0"/>
    <xf numFmtId="177" fontId="10" fillId="0" borderId="0" applyFont="0" applyFill="0" applyBorder="0" applyAlignment="0" applyProtection="0"/>
    <xf numFmtId="38" fontId="10" fillId="0" borderId="0" applyFill="0" applyBorder="0" applyAlignment="0" applyProtection="0">
      <protection locked="0"/>
    </xf>
    <xf numFmtId="0" fontId="11" fillId="0" borderId="0"/>
    <xf numFmtId="37" fontId="12" fillId="0" borderId="0">
      <alignment horizontal="centerContinuous"/>
    </xf>
    <xf numFmtId="0" fontId="13" fillId="21" borderId="2" applyNumberFormat="0" applyAlignment="0" applyProtection="0"/>
    <xf numFmtId="177" fontId="10" fillId="0" borderId="0" applyFont="0" applyFill="0" applyBorder="0" applyAlignment="0" applyProtection="0">
      <protection locked="0"/>
    </xf>
    <xf numFmtId="177" fontId="10" fillId="0" borderId="3" applyFont="0" applyFill="0" applyAlignment="0" applyProtection="0"/>
    <xf numFmtId="0" fontId="14" fillId="22" borderId="4" applyNumberFormat="0" applyAlignment="0" applyProtection="0"/>
    <xf numFmtId="0" fontId="5" fillId="0" borderId="0">
      <alignment horizontal="center" wrapText="1"/>
      <protection hidden="1"/>
    </xf>
    <xf numFmtId="0" fontId="15" fillId="0" borderId="5" applyNumberFormat="0" applyFill="0" applyBorder="0" applyProtection="0">
      <alignment horizontal="left" vertical="center"/>
    </xf>
    <xf numFmtId="0" fontId="15" fillId="0" borderId="5" applyNumberFormat="0" applyFill="0" applyBorder="0" applyProtection="0">
      <alignment horizontal="right" vertical="center"/>
    </xf>
    <xf numFmtId="43" fontId="5" fillId="0" borderId="0" applyFont="0" applyFill="0" applyBorder="0" applyAlignment="0" applyProtection="0"/>
    <xf numFmtId="37" fontId="16" fillId="0" borderId="0" applyFont="0" applyFill="0" applyBorder="0" applyAlignment="0" applyProtection="0"/>
    <xf numFmtId="39" fontId="16" fillId="0" borderId="0" applyFont="0" applyFill="0" applyBorder="0" applyAlignment="0" applyProtection="0"/>
    <xf numFmtId="0" fontId="17" fillId="23" borderId="0">
      <alignment horizontal="center" vertical="center" wrapText="1"/>
    </xf>
    <xf numFmtId="178" fontId="5" fillId="0" borderId="0" applyFill="0" applyBorder="0">
      <alignment horizontal="right"/>
      <protection locked="0"/>
    </xf>
    <xf numFmtId="0" fontId="18" fillId="0" borderId="0" applyFont="0" applyFill="0" applyBorder="0" applyAlignment="0"/>
    <xf numFmtId="166" fontId="19" fillId="0" borderId="0" applyFont="0" applyFill="0" applyBorder="0" applyAlignment="0" applyProtection="0"/>
    <xf numFmtId="164" fontId="16" fillId="0" borderId="0" applyFont="0" applyFill="0" applyBorder="0" applyAlignment="0" applyProtection="0"/>
    <xf numFmtId="179" fontId="6" fillId="0" borderId="0" applyFill="0" applyBorder="0" applyProtection="0">
      <alignment horizontal="right"/>
    </xf>
    <xf numFmtId="180" fontId="3" fillId="2" borderId="6">
      <alignment horizontal="right"/>
    </xf>
    <xf numFmtId="181" fontId="3" fillId="2" borderId="6">
      <alignment horizontal="right"/>
    </xf>
    <xf numFmtId="180" fontId="3" fillId="2" borderId="6">
      <alignment horizontal="right"/>
    </xf>
    <xf numFmtId="15" fontId="20" fillId="0" borderId="0" applyFill="0" applyBorder="0" applyAlignment="0"/>
    <xf numFmtId="182" fontId="18" fillId="24" borderId="0" applyFont="0" applyFill="0" applyBorder="0" applyAlignment="0" applyProtection="0"/>
    <xf numFmtId="183" fontId="20" fillId="0" borderId="5"/>
    <xf numFmtId="14" fontId="21" fillId="0" borderId="0" applyFont="0" applyFill="0" applyBorder="0" applyAlignment="0" applyProtection="0">
      <alignment horizontal="center"/>
    </xf>
    <xf numFmtId="184" fontId="21" fillId="0" borderId="0" applyFont="0" applyFill="0" applyBorder="0" applyAlignment="0" applyProtection="0">
      <alignment horizontal="center"/>
    </xf>
    <xf numFmtId="185" fontId="6" fillId="0" borderId="0" applyFont="0" applyFill="0" applyBorder="0" applyAlignment="0" applyProtection="0"/>
    <xf numFmtId="167" fontId="10" fillId="0" borderId="0" applyFont="0" applyFill="0" applyBorder="0" applyAlignment="0" applyProtection="0"/>
    <xf numFmtId="165" fontId="10" fillId="0" borderId="0" applyFont="0" applyFill="0" applyBorder="0" applyAlignment="0" applyProtection="0">
      <alignment horizontal="right"/>
    </xf>
    <xf numFmtId="165" fontId="10" fillId="0" borderId="0" applyFont="0" applyFill="0" applyBorder="0" applyAlignment="0" applyProtection="0"/>
    <xf numFmtId="39" fontId="3" fillId="25" borderId="0"/>
    <xf numFmtId="166" fontId="3" fillId="25" borderId="0" applyBorder="0"/>
    <xf numFmtId="186" fontId="3" fillId="25" borderId="0"/>
    <xf numFmtId="187" fontId="3" fillId="0" borderId="0"/>
    <xf numFmtId="188" fontId="3" fillId="25" borderId="0"/>
    <xf numFmtId="189" fontId="11" fillId="0" borderId="0" applyFont="0" applyFill="0" applyBorder="0" applyProtection="0">
      <alignment horizontal="left"/>
      <protection locked="0"/>
    </xf>
    <xf numFmtId="190" fontId="3" fillId="0" borderId="0"/>
    <xf numFmtId="191" fontId="11" fillId="0" borderId="0" applyFont="0" applyFill="0" applyBorder="0" applyProtection="0">
      <alignment horizontal="left"/>
      <protection locked="0"/>
    </xf>
    <xf numFmtId="192" fontId="5" fillId="0" borderId="0" applyFont="0" applyFill="0" applyBorder="0" applyAlignment="0" applyProtection="0"/>
    <xf numFmtId="0" fontId="22" fillId="0" borderId="0" applyNumberFormat="0" applyFill="0" applyBorder="0" applyAlignment="0" applyProtection="0"/>
    <xf numFmtId="175" fontId="3" fillId="0" borderId="7"/>
    <xf numFmtId="193" fontId="3" fillId="2" borderId="6">
      <alignment horizontal="right"/>
    </xf>
    <xf numFmtId="194" fontId="3" fillId="2" borderId="6">
      <alignment horizontal="right"/>
    </xf>
    <xf numFmtId="193" fontId="3" fillId="2" borderId="6">
      <alignment horizontal="right"/>
    </xf>
    <xf numFmtId="195" fontId="10" fillId="0" borderId="0" applyFill="0" applyBorder="0" applyAlignment="0" applyProtection="0">
      <protection locked="0"/>
    </xf>
    <xf numFmtId="0" fontId="23" fillId="5" borderId="0" applyNumberFormat="0" applyBorder="0" applyAlignment="0" applyProtection="0"/>
    <xf numFmtId="196" fontId="24" fillId="0" borderId="0" applyFill="0" applyBorder="0" applyAlignment="0" applyProtection="0"/>
    <xf numFmtId="175" fontId="25" fillId="0" borderId="0" applyAlignment="0">
      <alignment horizontal="left"/>
      <protection locked="0"/>
    </xf>
    <xf numFmtId="195" fontId="6" fillId="26" borderId="8" applyNumberFormat="0" applyFont="0" applyAlignment="0" applyProtection="0"/>
    <xf numFmtId="0" fontId="26" fillId="0" borderId="9" applyNumberFormat="0" applyFill="0" applyAlignment="0" applyProtection="0"/>
    <xf numFmtId="0" fontId="27" fillId="0" borderId="10" applyNumberFormat="0" applyFill="0" applyAlignment="0" applyProtection="0"/>
    <xf numFmtId="0" fontId="28" fillId="0" borderId="11" applyNumberFormat="0" applyFill="0" applyAlignment="0" applyProtection="0"/>
    <xf numFmtId="0" fontId="28" fillId="0" borderId="0" applyNumberFormat="0" applyFill="0" applyBorder="0" applyAlignment="0" applyProtection="0"/>
    <xf numFmtId="195" fontId="29" fillId="0" borderId="0" applyNumberFormat="0" applyFill="0" applyBorder="0" applyAlignment="0" applyProtection="0"/>
    <xf numFmtId="0" fontId="30" fillId="0" borderId="0"/>
    <xf numFmtId="177" fontId="10" fillId="0" borderId="0" applyFont="0" applyFill="0" applyBorder="0" applyAlignment="0" applyProtection="0"/>
    <xf numFmtId="38" fontId="10" fillId="0" borderId="0" applyFill="0" applyBorder="0" applyAlignment="0" applyProtection="0">
      <alignment horizontal="right"/>
      <protection locked="0"/>
    </xf>
    <xf numFmtId="0" fontId="31" fillId="8" borderId="2" applyNumberFormat="0" applyAlignment="0" applyProtection="0"/>
    <xf numFmtId="0" fontId="18" fillId="24" borderId="0" applyFont="0" applyBorder="0" applyAlignment="0">
      <protection locked="0"/>
    </xf>
    <xf numFmtId="0" fontId="5" fillId="0" borderId="0" applyFill="0" applyBorder="0">
      <alignment horizontal="right"/>
      <protection locked="0"/>
    </xf>
    <xf numFmtId="17" fontId="32" fillId="27" borderId="0"/>
    <xf numFmtId="197" fontId="5" fillId="0" borderId="0" applyFill="0" applyBorder="0">
      <alignment horizontal="right"/>
      <protection locked="0"/>
    </xf>
    <xf numFmtId="0" fontId="33" fillId="28" borderId="12">
      <alignment horizontal="left" vertical="center" wrapText="1"/>
    </xf>
    <xf numFmtId="0" fontId="34" fillId="0" borderId="13" applyNumberFormat="0" applyFill="0" applyAlignment="0" applyProtection="0"/>
    <xf numFmtId="198" fontId="10" fillId="0" borderId="0" applyFont="0" applyFill="0" applyBorder="0" applyAlignment="0" applyProtection="0">
      <alignment horizontal="right"/>
    </xf>
    <xf numFmtId="199" fontId="3" fillId="0" borderId="0">
      <alignment horizontal="right"/>
    </xf>
    <xf numFmtId="200" fontId="3" fillId="25" borderId="0">
      <alignment horizontal="right"/>
    </xf>
    <xf numFmtId="201" fontId="3" fillId="0" borderId="0">
      <alignment horizontal="right"/>
    </xf>
    <xf numFmtId="199" fontId="3" fillId="0" borderId="0">
      <alignment horizontal="right"/>
    </xf>
    <xf numFmtId="175" fontId="35" fillId="0" borderId="0" applyFill="0" applyBorder="0" applyAlignment="0" applyProtection="0">
      <alignment horizontal="right"/>
    </xf>
    <xf numFmtId="175" fontId="35" fillId="0" borderId="0" applyFill="0" applyBorder="0" applyAlignment="0" applyProtection="0"/>
    <xf numFmtId="202" fontId="3" fillId="2" borderId="6">
      <alignment horizontal="right"/>
    </xf>
    <xf numFmtId="203" fontId="10" fillId="0" borderId="0" applyFont="0" applyFill="0" applyBorder="0" applyAlignment="0" applyProtection="0"/>
    <xf numFmtId="0" fontId="16" fillId="2" borderId="0" applyFont="0" applyBorder="0" applyAlignment="0" applyProtection="0">
      <alignment horizontal="right"/>
      <protection hidden="1"/>
    </xf>
    <xf numFmtId="0" fontId="36" fillId="26" borderId="0" applyNumberFormat="0" applyBorder="0" applyAlignment="0" applyProtection="0"/>
    <xf numFmtId="37" fontId="19" fillId="0" borderId="0" applyFont="0" applyFill="0" applyBorder="0" applyAlignment="0" applyProtection="0"/>
    <xf numFmtId="204" fontId="5" fillId="0" borderId="0" applyFont="0" applyFill="0" applyBorder="0" applyAlignment="0" applyProtection="0"/>
    <xf numFmtId="39" fontId="5" fillId="0" borderId="0" applyFont="0" applyFill="0" applyBorder="0" applyAlignment="0" applyProtection="0"/>
    <xf numFmtId="205" fontId="5" fillId="0" borderId="0" applyFont="0" applyFill="0" applyBorder="0" applyAlignment="0" applyProtection="0"/>
    <xf numFmtId="0" fontId="5" fillId="0" borderId="0"/>
    <xf numFmtId="0" fontId="20" fillId="0" borderId="0" applyNumberFormat="0" applyFill="0" applyBorder="0" applyAlignment="0" applyProtection="0"/>
    <xf numFmtId="0" fontId="18" fillId="0" borderId="0" applyFont="0" applyFill="0" applyBorder="0" applyAlignment="0" applyProtection="0"/>
    <xf numFmtId="206" fontId="18" fillId="0" borderId="0" applyFont="0" applyFill="0" applyBorder="0" applyAlignment="0" applyProtection="0"/>
    <xf numFmtId="0" fontId="7" fillId="29" borderId="14" applyNumberFormat="0" applyFont="0" applyAlignment="0" applyProtection="0"/>
    <xf numFmtId="0" fontId="16" fillId="0" borderId="0" applyFont="0" applyFill="0" applyBorder="0" applyAlignment="0" applyProtection="0"/>
    <xf numFmtId="207" fontId="5" fillId="0" borderId="0" applyFont="0" applyFill="0" applyBorder="0" applyAlignment="0" applyProtection="0"/>
    <xf numFmtId="0" fontId="16" fillId="0" borderId="0" applyFont="0" applyFill="0" applyBorder="0" applyAlignment="0" applyProtection="0"/>
    <xf numFmtId="0" fontId="37" fillId="21" borderId="15" applyNumberFormat="0" applyAlignment="0" applyProtection="0"/>
    <xf numFmtId="208" fontId="10" fillId="0" borderId="0" applyFont="0" applyFill="0" applyBorder="0" applyAlignment="0" applyProtection="0">
      <alignment horizontal="right"/>
    </xf>
    <xf numFmtId="0" fontId="38" fillId="0" borderId="0" applyNumberFormat="0" applyFill="0" applyBorder="0" applyAlignment="0" applyProtection="0"/>
    <xf numFmtId="0" fontId="18" fillId="0" borderId="0"/>
    <xf numFmtId="209" fontId="3" fillId="25" borderId="0"/>
    <xf numFmtId="9" fontId="10" fillId="0" borderId="0" applyFont="0" applyFill="0" applyBorder="0" applyAlignment="0" applyProtection="0">
      <alignment horizontal="right"/>
    </xf>
    <xf numFmtId="210" fontId="3" fillId="0" borderId="0"/>
    <xf numFmtId="0" fontId="5" fillId="0" borderId="0" applyFont="0" applyFill="0" applyBorder="0" applyAlignment="0"/>
    <xf numFmtId="171" fontId="5" fillId="0" borderId="0" applyFont="0" applyFill="0" applyBorder="0" applyAlignment="0" applyProtection="0"/>
    <xf numFmtId="211" fontId="5" fillId="0" borderId="0" applyFont="0" applyFill="0" applyBorder="0" applyAlignment="0" applyProtection="0"/>
    <xf numFmtId="212" fontId="5" fillId="0" borderId="0" applyFill="0" applyBorder="0">
      <alignment horizontal="right"/>
      <protection locked="0"/>
    </xf>
    <xf numFmtId="196" fontId="10" fillId="0" borderId="0" applyFont="0" applyFill="0" applyBorder="0" applyAlignment="0" applyProtection="0"/>
    <xf numFmtId="167" fontId="10" fillId="0" borderId="0" applyFont="0" applyFill="0" applyBorder="0" applyAlignment="0" applyProtection="0"/>
    <xf numFmtId="177" fontId="10" fillId="0" borderId="0" applyFont="0" applyFill="0" applyBorder="0" applyAlignment="0" applyProtection="0">
      <protection locked="0"/>
    </xf>
    <xf numFmtId="195" fontId="10" fillId="0" borderId="0" applyFill="0" applyBorder="0" applyAlignment="0" applyProtection="0"/>
    <xf numFmtId="38" fontId="10" fillId="0" borderId="0" applyFont="0" applyFill="0" applyBorder="0" applyAlignment="0" applyProtection="0"/>
    <xf numFmtId="173" fontId="3" fillId="2" borderId="16">
      <alignment horizontal="right"/>
    </xf>
    <xf numFmtId="213" fontId="39" fillId="2" borderId="0"/>
    <xf numFmtId="214" fontId="3" fillId="2" borderId="0"/>
    <xf numFmtId="0" fontId="40" fillId="0" borderId="0">
      <alignment horizontal="center"/>
    </xf>
    <xf numFmtId="0" fontId="3" fillId="0" borderId="5">
      <alignment horizontal="centerContinuous"/>
    </xf>
    <xf numFmtId="215" fontId="3" fillId="2" borderId="0">
      <alignment horizontal="right"/>
    </xf>
    <xf numFmtId="216" fontId="3" fillId="2" borderId="6">
      <alignment horizontal="right"/>
    </xf>
    <xf numFmtId="217" fontId="5" fillId="0" borderId="0">
      <alignment horizontal="right"/>
      <protection locked="0"/>
    </xf>
    <xf numFmtId="195" fontId="21" fillId="0" borderId="0" applyFont="0" applyFill="0" applyBorder="0" applyAlignment="0" applyProtection="0"/>
    <xf numFmtId="0" fontId="41" fillId="0" borderId="0" applyNumberFormat="0" applyFill="0" applyBorder="0" applyProtection="0">
      <alignment horizontal="right" vertical="center"/>
    </xf>
    <xf numFmtId="0" fontId="42" fillId="23" borderId="8">
      <alignment horizontal="center" vertical="center" wrapText="1"/>
      <protection hidden="1"/>
    </xf>
    <xf numFmtId="177" fontId="10" fillId="0" borderId="0" applyFill="0" applyBorder="0" applyAlignment="0" applyProtection="0">
      <protection locked="0"/>
    </xf>
    <xf numFmtId="218" fontId="21" fillId="0" borderId="0" applyFont="0" applyFill="0" applyBorder="0" applyAlignment="0" applyProtection="0">
      <alignment horizontal="right"/>
    </xf>
    <xf numFmtId="38" fontId="5" fillId="0" borderId="0" applyFont="0" applyFill="0" applyBorder="0" applyAlignment="0" applyProtection="0"/>
    <xf numFmtId="0" fontId="43" fillId="0" borderId="17" applyNumberFormat="0" applyFill="0" applyProtection="0">
      <alignment horizontal="left" vertical="top" wrapText="1"/>
    </xf>
    <xf numFmtId="0" fontId="30" fillId="0" borderId="0" applyNumberFormat="0" applyFill="0" applyBorder="0" applyProtection="0">
      <alignment horizontal="left" vertical="top" wrapText="1"/>
    </xf>
    <xf numFmtId="0" fontId="44" fillId="0" borderId="0" applyNumberFormat="0" applyFill="0" applyProtection="0">
      <alignment horizontal="left" vertical="top" wrapText="1"/>
    </xf>
    <xf numFmtId="0" fontId="45" fillId="0" borderId="0" applyNumberFormat="0" applyFill="0" applyBorder="0" applyProtection="0"/>
    <xf numFmtId="0" fontId="46" fillId="30" borderId="0" applyNumberFormat="0" applyBorder="0" applyProtection="0"/>
    <xf numFmtId="0" fontId="47" fillId="0" borderId="0" applyNumberFormat="0" applyFill="0" applyBorder="0" applyProtection="0">
      <alignment vertical="top"/>
    </xf>
    <xf numFmtId="219" fontId="48" fillId="0" borderId="0" applyFill="0" applyBorder="0" applyProtection="0">
      <alignment horizontal="right" wrapText="1"/>
    </xf>
    <xf numFmtId="220" fontId="48" fillId="0" borderId="0" applyFill="0" applyBorder="0" applyProtection="0">
      <alignment horizontal="right"/>
    </xf>
    <xf numFmtId="4" fontId="18" fillId="0" borderId="0" applyFill="0" applyBorder="0" applyProtection="0">
      <alignment horizontal="right"/>
    </xf>
    <xf numFmtId="188" fontId="49" fillId="0" borderId="0" applyFill="0" applyBorder="0" applyAlignment="0" applyProtection="0"/>
    <xf numFmtId="221" fontId="50" fillId="0" borderId="0" applyFill="0" applyBorder="0" applyAlignment="0" applyProtection="0">
      <alignment horizontal="left"/>
      <protection locked="0"/>
    </xf>
    <xf numFmtId="221" fontId="50" fillId="0" borderId="0" applyFill="0" applyBorder="0" applyAlignment="0" applyProtection="0"/>
    <xf numFmtId="221" fontId="51" fillId="0" borderId="0" applyFill="0" applyBorder="0" applyAlignment="0" applyProtection="0">
      <alignment horizontal="left"/>
      <protection locked="0"/>
    </xf>
    <xf numFmtId="221" fontId="51" fillId="0" borderId="0" applyFill="0" applyBorder="0" applyAlignment="0" applyProtection="0">
      <protection locked="0"/>
    </xf>
    <xf numFmtId="195" fontId="10" fillId="0" borderId="0" applyFill="0" applyBorder="0" applyAlignment="0" applyProtection="0">
      <protection locked="0"/>
    </xf>
    <xf numFmtId="195" fontId="49" fillId="0" borderId="0" applyFill="0" applyBorder="0" applyAlignment="0" applyProtection="0"/>
    <xf numFmtId="49" fontId="52" fillId="0" borderId="0"/>
    <xf numFmtId="222" fontId="5" fillId="0" borderId="0" applyFont="0" applyFill="0" applyBorder="0" applyAlignment="0" applyProtection="0"/>
    <xf numFmtId="223" fontId="5" fillId="0" borderId="0" applyFont="0" applyFill="0" applyBorder="0" applyAlignment="0" applyProtection="0"/>
    <xf numFmtId="0" fontId="53" fillId="0" borderId="0" applyNumberFormat="0" applyFill="0" applyBorder="0" applyAlignment="0" applyProtection="0"/>
    <xf numFmtId="0" fontId="54" fillId="1" borderId="0" applyNumberFormat="0" applyBorder="0" applyProtection="0">
      <alignment horizontal="left" vertical="center"/>
    </xf>
    <xf numFmtId="195" fontId="55" fillId="0" borderId="0" applyNumberFormat="0" applyFill="0" applyBorder="0" applyAlignment="0" applyProtection="0"/>
    <xf numFmtId="0" fontId="5" fillId="0" borderId="0" applyBorder="0"/>
    <xf numFmtId="38" fontId="56" fillId="0" borderId="0" applyFill="0" applyBorder="0" applyAlignment="0" applyProtection="0">
      <alignment horizontal="left"/>
    </xf>
    <xf numFmtId="0" fontId="57" fillId="0" borderId="0"/>
    <xf numFmtId="0" fontId="58" fillId="0" borderId="18" applyNumberFormat="0" applyFill="0" applyAlignment="0" applyProtection="0"/>
    <xf numFmtId="0" fontId="59" fillId="0" borderId="0" applyNumberFormat="0" applyFill="0" applyBorder="0" applyAlignment="0" applyProtection="0"/>
    <xf numFmtId="1" fontId="10" fillId="0" borderId="0" applyFont="0" applyFill="0" applyBorder="0" applyAlignment="0" applyProtection="0"/>
    <xf numFmtId="224" fontId="19" fillId="0" borderId="0" applyFont="0" applyFill="0" applyBorder="0" applyAlignment="0" applyProtection="0"/>
    <xf numFmtId="231" fontId="20" fillId="0" borderId="0" applyFill="0" applyBorder="0" applyAlignment="0" applyProtection="0">
      <alignment horizontal="right"/>
    </xf>
    <xf numFmtId="0" fontId="67" fillId="0" borderId="0" applyAlignment="0"/>
    <xf numFmtId="0" fontId="68" fillId="0" borderId="0" applyAlignment="0"/>
    <xf numFmtId="0" fontId="46" fillId="31" borderId="0" applyAlignment="0"/>
    <xf numFmtId="232" fontId="18" fillId="0" borderId="21" applyFont="0" applyFill="0" applyBorder="0" applyAlignment="0" applyProtection="0"/>
    <xf numFmtId="233" fontId="20" fillId="0" borderId="0" applyFont="0" applyFill="0" applyBorder="0" applyAlignment="0" applyProtection="0"/>
    <xf numFmtId="234" fontId="18" fillId="0" borderId="0" applyFont="0" applyFill="0" applyBorder="0" applyAlignment="0" applyProtection="0"/>
    <xf numFmtId="182" fontId="69" fillId="24" borderId="22" applyFont="0" applyFill="0" applyBorder="0" applyAlignment="0" applyProtection="0"/>
    <xf numFmtId="0" fontId="70" fillId="0" borderId="0" applyAlignment="0"/>
    <xf numFmtId="14" fontId="20" fillId="0" borderId="5" applyFont="0" applyFill="0" applyBorder="0" applyAlignment="0" applyProtection="0"/>
    <xf numFmtId="0" fontId="71" fillId="32" borderId="23"/>
    <xf numFmtId="0" fontId="72" fillId="33" borderId="0" applyAlignment="0"/>
    <xf numFmtId="0" fontId="73" fillId="34" borderId="0" applyAlignment="0"/>
    <xf numFmtId="0" fontId="74" fillId="0" borderId="0" applyAlignment="0"/>
    <xf numFmtId="235" fontId="18" fillId="0" borderId="0" applyFont="0" applyFill="0" applyBorder="0" applyAlignment="0" applyProtection="0">
      <alignment horizontal="right"/>
    </xf>
    <xf numFmtId="195" fontId="75" fillId="0" borderId="0" applyNumberFormat="0" applyFill="0" applyBorder="0" applyAlignment="0" applyProtection="0">
      <alignment horizontal="left"/>
    </xf>
    <xf numFmtId="0" fontId="76" fillId="35" borderId="0" applyAlignment="0"/>
    <xf numFmtId="0" fontId="77" fillId="0" borderId="0" applyAlignment="0"/>
    <xf numFmtId="0" fontId="78" fillId="0" borderId="0" applyAlignment="0"/>
    <xf numFmtId="0" fontId="79" fillId="0" borderId="0" applyAlignment="0"/>
    <xf numFmtId="0" fontId="80" fillId="0" borderId="0" applyAlignment="0"/>
    <xf numFmtId="0" fontId="47" fillId="0" borderId="0" applyAlignment="0"/>
    <xf numFmtId="236" fontId="18" fillId="0" borderId="0" applyFont="0" applyFill="0" applyBorder="0" applyAlignment="0" applyProtection="0">
      <alignment horizontal="right"/>
    </xf>
    <xf numFmtId="0" fontId="81" fillId="0" borderId="0" applyAlignment="0"/>
    <xf numFmtId="237" fontId="18" fillId="0" borderId="0" applyFont="0" applyFill="0" applyBorder="0" applyAlignment="0"/>
    <xf numFmtId="9" fontId="86" fillId="0" borderId="0" applyFont="0" applyFill="0" applyBorder="0" applyAlignment="0" applyProtection="0"/>
    <xf numFmtId="0" fontId="93" fillId="0" borderId="0" applyNumberFormat="0" applyFill="0" applyBorder="0" applyAlignment="0" applyProtection="0"/>
  </cellStyleXfs>
  <cellXfs count="132">
    <xf numFmtId="0" fontId="0" fillId="0" borderId="0" xfId="0"/>
    <xf numFmtId="0" fontId="2" fillId="0" borderId="0" xfId="0" applyFont="1"/>
    <xf numFmtId="14" fontId="62" fillId="0" borderId="0" xfId="0" applyNumberFormat="1" applyFont="1" applyAlignment="1">
      <alignment horizontal="left"/>
    </xf>
    <xf numFmtId="37" fontId="1" fillId="0" borderId="0" xfId="0" applyNumberFormat="1" applyFont="1"/>
    <xf numFmtId="168" fontId="0" fillId="0" borderId="0" xfId="0" applyNumberFormat="1"/>
    <xf numFmtId="0" fontId="63" fillId="0" borderId="1" xfId="0" applyFont="1" applyBorder="1"/>
    <xf numFmtId="0" fontId="0" fillId="0" borderId="1" xfId="0" applyBorder="1"/>
    <xf numFmtId="225" fontId="63" fillId="0" borderId="0" xfId="0" applyNumberFormat="1" applyFont="1"/>
    <xf numFmtId="226" fontId="63" fillId="0" borderId="0" xfId="0" applyNumberFormat="1" applyFont="1"/>
    <xf numFmtId="0" fontId="64" fillId="0" borderId="1" xfId="0" applyFont="1" applyBorder="1"/>
    <xf numFmtId="227" fontId="64" fillId="0" borderId="1" xfId="0" applyNumberFormat="1" applyFont="1" applyBorder="1"/>
    <xf numFmtId="0" fontId="64" fillId="0" borderId="0" xfId="0" applyFont="1"/>
    <xf numFmtId="227" fontId="65" fillId="0" borderId="0" xfId="0" applyNumberFormat="1" applyFont="1"/>
    <xf numFmtId="227" fontId="64" fillId="0" borderId="0" xfId="0" applyNumberFormat="1" applyFont="1"/>
    <xf numFmtId="37" fontId="2" fillId="0" borderId="0" xfId="0" applyNumberFormat="1" applyFont="1"/>
    <xf numFmtId="0" fontId="63" fillId="0" borderId="0" xfId="0" applyFont="1"/>
    <xf numFmtId="37" fontId="60" fillId="0" borderId="0" xfId="0" applyNumberFormat="1" applyFont="1"/>
    <xf numFmtId="37" fontId="0" fillId="0" borderId="0" xfId="0" applyNumberFormat="1"/>
    <xf numFmtId="0" fontId="66" fillId="0" borderId="0" xfId="0" applyFont="1"/>
    <xf numFmtId="0" fontId="0" fillId="0" borderId="0" xfId="0" applyAlignment="1">
      <alignment horizontal="left" indent="1"/>
    </xf>
    <xf numFmtId="168" fontId="2" fillId="0" borderId="0" xfId="0" applyNumberFormat="1" applyFont="1"/>
    <xf numFmtId="168" fontId="1" fillId="0" borderId="0" xfId="0" applyNumberFormat="1" applyFont="1"/>
    <xf numFmtId="225" fontId="60" fillId="0" borderId="0" xfId="0" applyNumberFormat="1" applyFont="1"/>
    <xf numFmtId="226" fontId="60" fillId="0" borderId="0" xfId="0" applyNumberFormat="1" applyFont="1"/>
    <xf numFmtId="227" fontId="62" fillId="0" borderId="1" xfId="0" applyNumberFormat="1" applyFont="1" applyBorder="1"/>
    <xf numFmtId="14" fontId="64" fillId="0" borderId="0" xfId="0" applyNumberFormat="1" applyFont="1"/>
    <xf numFmtId="0" fontId="63" fillId="0" borderId="0" xfId="0" applyFont="1" applyAlignment="1">
      <alignment horizontal="left"/>
    </xf>
    <xf numFmtId="0" fontId="0" fillId="0" borderId="0" xfId="0" applyAlignment="1">
      <alignment horizontal="left"/>
    </xf>
    <xf numFmtId="37" fontId="63" fillId="0" borderId="0" xfId="0" applyNumberFormat="1" applyFont="1"/>
    <xf numFmtId="37" fontId="64" fillId="0" borderId="0" xfId="0" applyNumberFormat="1" applyFont="1"/>
    <xf numFmtId="0" fontId="0" fillId="0" borderId="0" xfId="0" quotePrefix="1" applyAlignment="1">
      <alignment horizontal="left" indent="1"/>
    </xf>
    <xf numFmtId="168" fontId="0" fillId="0" borderId="1" xfId="0" applyNumberFormat="1" applyBorder="1"/>
    <xf numFmtId="9" fontId="1" fillId="0" borderId="1" xfId="0" applyNumberFormat="1" applyFont="1" applyBorder="1"/>
    <xf numFmtId="3" fontId="0" fillId="0" borderId="0" xfId="0" applyNumberFormat="1"/>
    <xf numFmtId="0" fontId="63" fillId="0" borderId="0" xfId="0" applyFont="1" applyAlignment="1">
      <alignment horizontal="left" indent="1"/>
    </xf>
    <xf numFmtId="10" fontId="1" fillId="0" borderId="0" xfId="0" applyNumberFormat="1" applyFont="1"/>
    <xf numFmtId="229" fontId="1" fillId="0" borderId="0" xfId="0" applyNumberFormat="1" applyFont="1"/>
    <xf numFmtId="4" fontId="0" fillId="0" borderId="0" xfId="0" applyNumberFormat="1"/>
    <xf numFmtId="0" fontId="66" fillId="0" borderId="0" xfId="0" applyFont="1" applyAlignment="1">
      <alignment horizontal="left" indent="1"/>
    </xf>
    <xf numFmtId="0" fontId="0" fillId="0" borderId="24" xfId="0" applyBorder="1"/>
    <xf numFmtId="37" fontId="63" fillId="0" borderId="1" xfId="0" applyNumberFormat="1" applyFont="1" applyBorder="1"/>
    <xf numFmtId="37" fontId="63" fillId="0" borderId="1" xfId="0" applyNumberFormat="1" applyFont="1" applyBorder="1" applyAlignment="1">
      <alignment horizontal="left"/>
    </xf>
    <xf numFmtId="0" fontId="0" fillId="0" borderId="19" xfId="0" applyBorder="1"/>
    <xf numFmtId="0" fontId="0" fillId="0" borderId="0" xfId="0" applyAlignment="1">
      <alignment horizontal="left" indent="2"/>
    </xf>
    <xf numFmtId="0" fontId="63" fillId="0" borderId="5" xfId="0" applyFont="1" applyBorder="1"/>
    <xf numFmtId="9" fontId="64" fillId="0" borderId="0" xfId="0" applyNumberFormat="1" applyFont="1"/>
    <xf numFmtId="198" fontId="64" fillId="0" borderId="0" xfId="0" applyNumberFormat="1" applyFont="1"/>
    <xf numFmtId="0" fontId="0" fillId="0" borderId="0" xfId="0" quotePrefix="1"/>
    <xf numFmtId="227" fontId="64" fillId="0" borderId="5" xfId="0" applyNumberFormat="1" applyFont="1" applyBorder="1"/>
    <xf numFmtId="238" fontId="0" fillId="0" borderId="0" xfId="0" applyNumberFormat="1"/>
    <xf numFmtId="0" fontId="83" fillId="0" borderId="0" xfId="0" applyFont="1" applyAlignment="1">
      <alignment horizontal="left"/>
    </xf>
    <xf numFmtId="37" fontId="1" fillId="0" borderId="26" xfId="0" applyNumberFormat="1" applyFont="1" applyBorder="1"/>
    <xf numFmtId="0" fontId="63" fillId="0" borderId="19" xfId="0" applyFont="1" applyBorder="1"/>
    <xf numFmtId="0" fontId="0" fillId="0" borderId="26" xfId="0" applyBorder="1"/>
    <xf numFmtId="0" fontId="0" fillId="0" borderId="26" xfId="0" quotePrefix="1" applyBorder="1" applyAlignment="1">
      <alignment horizontal="left" indent="1"/>
    </xf>
    <xf numFmtId="0" fontId="0" fillId="0" borderId="26" xfId="0" applyBorder="1" applyAlignment="1">
      <alignment horizontal="left" indent="1"/>
    </xf>
    <xf numFmtId="0" fontId="63" fillId="0" borderId="27" xfId="0" applyFont="1" applyBorder="1" applyAlignment="1">
      <alignment horizontal="centerContinuous"/>
    </xf>
    <xf numFmtId="0" fontId="1" fillId="0" borderId="0" xfId="0" applyFont="1" applyAlignment="1">
      <alignment horizontal="center"/>
    </xf>
    <xf numFmtId="239" fontId="1" fillId="36" borderId="25" xfId="0" applyNumberFormat="1" applyFont="1" applyFill="1" applyBorder="1" applyAlignment="1">
      <alignment horizontal="center"/>
    </xf>
    <xf numFmtId="167" fontId="1" fillId="0" borderId="0" xfId="0" applyNumberFormat="1" applyFont="1" applyAlignment="1">
      <alignment horizontal="center"/>
    </xf>
    <xf numFmtId="14" fontId="1" fillId="0" borderId="0" xfId="0" applyNumberFormat="1" applyFont="1" applyAlignment="1">
      <alignment horizontal="center"/>
    </xf>
    <xf numFmtId="227" fontId="1" fillId="0" borderId="0" xfId="0" applyNumberFormat="1" applyFont="1" applyAlignment="1">
      <alignment horizontal="center"/>
    </xf>
    <xf numFmtId="0" fontId="85" fillId="0" borderId="29" xfId="0" applyFont="1" applyBorder="1" applyAlignment="1">
      <alignment horizontal="left" indent="2"/>
    </xf>
    <xf numFmtId="37" fontId="84" fillId="0" borderId="30" xfId="0" applyNumberFormat="1" applyFont="1" applyBorder="1" applyAlignment="1">
      <alignment horizontal="right"/>
    </xf>
    <xf numFmtId="37" fontId="84" fillId="0" borderId="31" xfId="0" applyNumberFormat="1" applyFont="1" applyBorder="1" applyAlignment="1">
      <alignment horizontal="right"/>
    </xf>
    <xf numFmtId="0" fontId="85" fillId="0" borderId="0" xfId="0" applyFont="1" applyAlignment="1">
      <alignment horizontal="center"/>
    </xf>
    <xf numFmtId="37" fontId="84" fillId="0" borderId="0" xfId="0" applyNumberFormat="1" applyFont="1" applyAlignment="1">
      <alignment horizontal="right"/>
    </xf>
    <xf numFmtId="37" fontId="0" fillId="0" borderId="30" xfId="0" applyNumberFormat="1" applyBorder="1"/>
    <xf numFmtId="0" fontId="0" fillId="0" borderId="30" xfId="0" applyBorder="1"/>
    <xf numFmtId="37" fontId="0" fillId="0" borderId="27" xfId="0" applyNumberFormat="1" applyBorder="1"/>
    <xf numFmtId="0" fontId="63" fillId="0" borderId="1" xfId="0" applyFont="1" applyBorder="1" applyAlignment="1">
      <alignment horizontal="left"/>
    </xf>
    <xf numFmtId="168" fontId="2" fillId="0" borderId="1" xfId="0" applyNumberFormat="1" applyFont="1" applyBorder="1"/>
    <xf numFmtId="205" fontId="1" fillId="0" borderId="0" xfId="0" applyNumberFormat="1" applyFont="1" applyAlignment="1">
      <alignment horizontal="center"/>
    </xf>
    <xf numFmtId="0" fontId="63" fillId="0" borderId="26" xfId="0" applyFont="1" applyBorder="1" applyAlignment="1">
      <alignment horizontal="left" indent="1"/>
    </xf>
    <xf numFmtId="37" fontId="63" fillId="0" borderId="26" xfId="0" applyNumberFormat="1" applyFont="1" applyBorder="1"/>
    <xf numFmtId="0" fontId="60" fillId="0" borderId="28" xfId="0" applyFont="1" applyBorder="1" applyAlignment="1">
      <alignment horizontal="left" indent="1"/>
    </xf>
    <xf numFmtId="37" fontId="60" fillId="0" borderId="28" xfId="0" applyNumberFormat="1" applyFont="1" applyBorder="1"/>
    <xf numFmtId="9" fontId="0" fillId="0" borderId="0" xfId="0" applyNumberFormat="1"/>
    <xf numFmtId="1" fontId="0" fillId="0" borderId="0" xfId="0" applyNumberFormat="1"/>
    <xf numFmtId="198" fontId="0" fillId="0" borderId="0" xfId="209" applyNumberFormat="1" applyFont="1"/>
    <xf numFmtId="198" fontId="82" fillId="0" borderId="0" xfId="209" applyNumberFormat="1" applyFont="1"/>
    <xf numFmtId="0" fontId="63" fillId="0" borderId="0" xfId="0" applyFont="1" applyAlignment="1">
      <alignment horizontal="left" wrapText="1" indent="1"/>
    </xf>
    <xf numFmtId="37" fontId="89" fillId="0" borderId="0" xfId="0" applyNumberFormat="1" applyFont="1"/>
    <xf numFmtId="0" fontId="0" fillId="0" borderId="0" xfId="0" applyBorder="1"/>
    <xf numFmtId="227" fontId="64" fillId="0" borderId="0" xfId="0" applyNumberFormat="1" applyFont="1" applyBorder="1"/>
    <xf numFmtId="0" fontId="63" fillId="0" borderId="0" xfId="0" applyFont="1" applyBorder="1" applyAlignment="1">
      <alignment horizontal="centerContinuous"/>
    </xf>
    <xf numFmtId="168" fontId="2" fillId="0" borderId="0" xfId="0" applyNumberFormat="1" applyFont="1" applyBorder="1"/>
    <xf numFmtId="9" fontId="1" fillId="0" borderId="0" xfId="0" applyNumberFormat="1" applyFont="1" applyBorder="1"/>
    <xf numFmtId="37" fontId="0" fillId="0" borderId="0" xfId="0" applyNumberFormat="1" applyBorder="1"/>
    <xf numFmtId="226" fontId="63" fillId="0" borderId="32" xfId="0" applyNumberFormat="1" applyFont="1" applyBorder="1"/>
    <xf numFmtId="226" fontId="60" fillId="0" borderId="32" xfId="0" applyNumberFormat="1" applyFont="1" applyBorder="1"/>
    <xf numFmtId="225" fontId="60" fillId="0" borderId="32" xfId="0" applyNumberFormat="1" applyFont="1" applyBorder="1"/>
    <xf numFmtId="0" fontId="63" fillId="0" borderId="0" xfId="0" applyFont="1" applyBorder="1"/>
    <xf numFmtId="0" fontId="63" fillId="37" borderId="1" xfId="0" applyFont="1" applyFill="1" applyBorder="1"/>
    <xf numFmtId="1" fontId="0" fillId="38" borderId="0" xfId="0" applyNumberFormat="1" applyFill="1"/>
    <xf numFmtId="1" fontId="63" fillId="38" borderId="0" xfId="0" applyNumberFormat="1" applyFont="1" applyFill="1"/>
    <xf numFmtId="0" fontId="0" fillId="38" borderId="0" xfId="0" applyFill="1"/>
    <xf numFmtId="1" fontId="60" fillId="38" borderId="0" xfId="0" applyNumberFormat="1" applyFont="1" applyFill="1"/>
    <xf numFmtId="3" fontId="0" fillId="38" borderId="0" xfId="0" applyNumberFormat="1" applyFill="1"/>
    <xf numFmtId="9" fontId="1" fillId="38" borderId="0" xfId="209" applyFont="1" applyFill="1"/>
    <xf numFmtId="198" fontId="1" fillId="38" borderId="0" xfId="209" applyNumberFormat="1" applyFont="1" applyFill="1"/>
    <xf numFmtId="198" fontId="2" fillId="38" borderId="0" xfId="209" applyNumberFormat="1" applyFont="1" applyFill="1"/>
    <xf numFmtId="198" fontId="86" fillId="38" borderId="0" xfId="209" applyNumberFormat="1" applyFont="1" applyFill="1"/>
    <xf numFmtId="37" fontId="0" fillId="38" borderId="0" xfId="0" applyNumberFormat="1" applyFill="1"/>
    <xf numFmtId="3" fontId="63" fillId="38" borderId="0" xfId="0" applyNumberFormat="1" applyFont="1" applyFill="1"/>
    <xf numFmtId="37" fontId="63" fillId="38" borderId="0" xfId="0" applyNumberFormat="1" applyFont="1" applyFill="1"/>
    <xf numFmtId="0" fontId="63" fillId="38" borderId="0" xfId="0" applyFont="1" applyFill="1"/>
    <xf numFmtId="3" fontId="2" fillId="38" borderId="0" xfId="0" applyNumberFormat="1" applyFont="1" applyFill="1"/>
    <xf numFmtId="37" fontId="0" fillId="38" borderId="26" xfId="0" applyNumberFormat="1" applyFill="1" applyBorder="1"/>
    <xf numFmtId="168" fontId="2" fillId="38" borderId="0" xfId="0" applyNumberFormat="1" applyFont="1" applyFill="1"/>
    <xf numFmtId="37" fontId="2" fillId="38" borderId="0" xfId="0" applyNumberFormat="1" applyFont="1" applyFill="1"/>
    <xf numFmtId="37" fontId="2" fillId="38" borderId="32" xfId="0" applyNumberFormat="1" applyFont="1" applyFill="1" applyBorder="1"/>
    <xf numFmtId="37" fontId="60" fillId="38" borderId="0" xfId="0" applyNumberFormat="1" applyFont="1" applyFill="1"/>
    <xf numFmtId="37" fontId="2" fillId="38" borderId="27" xfId="0" applyNumberFormat="1" applyFont="1" applyFill="1" applyBorder="1"/>
    <xf numFmtId="37" fontId="2" fillId="38" borderId="26" xfId="0" applyNumberFormat="1" applyFont="1" applyFill="1" applyBorder="1"/>
    <xf numFmtId="37" fontId="0" fillId="38" borderId="32" xfId="0" applyNumberFormat="1" applyFill="1" applyBorder="1"/>
    <xf numFmtId="229" fontId="82" fillId="38" borderId="0" xfId="0" applyNumberFormat="1" applyFont="1" applyFill="1"/>
    <xf numFmtId="37" fontId="60" fillId="38" borderId="28" xfId="0" applyNumberFormat="1" applyFont="1" applyFill="1" applyBorder="1"/>
    <xf numFmtId="238" fontId="82" fillId="38" borderId="0" xfId="0" applyNumberFormat="1" applyFont="1" applyFill="1"/>
    <xf numFmtId="238" fontId="1" fillId="38" borderId="0" xfId="0" applyNumberFormat="1" applyFont="1" applyFill="1"/>
    <xf numFmtId="238" fontId="0" fillId="38" borderId="0" xfId="0" applyNumberFormat="1" applyFill="1"/>
    <xf numFmtId="0" fontId="63" fillId="38" borderId="19" xfId="0" applyFont="1" applyFill="1" applyBorder="1"/>
    <xf numFmtId="0" fontId="0" fillId="38" borderId="19" xfId="0" applyFill="1" applyBorder="1"/>
    <xf numFmtId="0" fontId="63" fillId="39" borderId="1" xfId="0" applyFont="1" applyFill="1" applyBorder="1"/>
    <xf numFmtId="238" fontId="1" fillId="39" borderId="0" xfId="0" applyNumberFormat="1" applyFont="1" applyFill="1"/>
    <xf numFmtId="0" fontId="63" fillId="39" borderId="0" xfId="0" applyFont="1" applyFill="1"/>
    <xf numFmtId="0" fontId="90" fillId="37" borderId="0" xfId="0" applyFont="1" applyFill="1" applyAlignment="1">
      <alignment horizontal="center" vertical="center" wrapText="1"/>
    </xf>
    <xf numFmtId="0" fontId="91" fillId="39" borderId="0" xfId="0" applyFont="1" applyFill="1" applyAlignment="1">
      <alignment horizontal="center" wrapText="1"/>
    </xf>
    <xf numFmtId="0" fontId="0" fillId="39" borderId="0" xfId="0" applyFill="1" applyAlignment="1">
      <alignment horizontal="center" wrapText="1"/>
    </xf>
    <xf numFmtId="0" fontId="0" fillId="39" borderId="20" xfId="0" applyFill="1" applyBorder="1" applyAlignment="1">
      <alignment horizontal="center" wrapText="1"/>
    </xf>
    <xf numFmtId="0" fontId="92" fillId="39" borderId="0" xfId="0" applyFont="1" applyFill="1" applyAlignment="1">
      <alignment horizontal="center" vertical="center"/>
    </xf>
    <xf numFmtId="0" fontId="93" fillId="0" borderId="0" xfId="210" applyAlignment="1">
      <alignment horizontal="center"/>
    </xf>
  </cellXfs>
  <cellStyles count="211">
    <cellStyle name="******************************************" xfId="8" xr:uid="{00000000-0005-0000-0000-000007000000}"/>
    <cellStyle name="%" xfId="7" xr:uid="{00000000-0005-0000-0000-000006000000}"/>
    <cellStyle name="$" xfId="1" xr:uid="{00000000-0005-0000-0000-000000000000}"/>
    <cellStyle name="$m" xfId="2" xr:uid="{00000000-0005-0000-0000-000001000000}"/>
    <cellStyle name="$q" xfId="3" xr:uid="{00000000-0005-0000-0000-000002000000}"/>
    <cellStyle name="$q*" xfId="4" xr:uid="{00000000-0005-0000-0000-000003000000}"/>
    <cellStyle name="$qA" xfId="5" xr:uid="{00000000-0005-0000-0000-000004000000}"/>
    <cellStyle name="$qRange" xfId="6" xr:uid="{00000000-0005-0000-0000-000005000000}"/>
    <cellStyle name="10Q" xfId="184" xr:uid="{00000000-0005-0000-0000-000008000000}"/>
    <cellStyle name="2 Decimal Places_MA Software Comps - List_AccretionDilution OTGS v16.xls Chart 1" xfId="9" xr:uid="{00000000-0005-0000-0000-000009000000}"/>
    <cellStyle name="20% - Accent1 2" xfId="10" xr:uid="{00000000-0005-0000-0000-00000A000000}"/>
    <cellStyle name="20% - Accent2 2" xfId="11" xr:uid="{00000000-0005-0000-0000-00000B000000}"/>
    <cellStyle name="20% - Accent3 2" xfId="12" xr:uid="{00000000-0005-0000-0000-00000C000000}"/>
    <cellStyle name="20% - Accent4 2" xfId="13" xr:uid="{00000000-0005-0000-0000-00000D000000}"/>
    <cellStyle name="20% - Accent5 2" xfId="14" xr:uid="{00000000-0005-0000-0000-00000E000000}"/>
    <cellStyle name="20% - Accent6 2" xfId="15" xr:uid="{00000000-0005-0000-0000-00000F000000}"/>
    <cellStyle name="40% - Accent1 2" xfId="16" xr:uid="{00000000-0005-0000-0000-000010000000}"/>
    <cellStyle name="40% - Accent2 2" xfId="17" xr:uid="{00000000-0005-0000-0000-000011000000}"/>
    <cellStyle name="40% - Accent3 2" xfId="18" xr:uid="{00000000-0005-0000-0000-000012000000}"/>
    <cellStyle name="40% - Accent4 2" xfId="19" xr:uid="{00000000-0005-0000-0000-000013000000}"/>
    <cellStyle name="40% - Accent5 2" xfId="20" xr:uid="{00000000-0005-0000-0000-000014000000}"/>
    <cellStyle name="40% - Accent6 2" xfId="21" xr:uid="{00000000-0005-0000-0000-000015000000}"/>
    <cellStyle name="60% - Accent1 2" xfId="22" xr:uid="{00000000-0005-0000-0000-000016000000}"/>
    <cellStyle name="60% - Accent2 2" xfId="23" xr:uid="{00000000-0005-0000-0000-000017000000}"/>
    <cellStyle name="60% - Accent3 2" xfId="24" xr:uid="{00000000-0005-0000-0000-000018000000}"/>
    <cellStyle name="60% - Accent4 2" xfId="25" xr:uid="{00000000-0005-0000-0000-000019000000}"/>
    <cellStyle name="60% - Accent5 2" xfId="26" xr:uid="{00000000-0005-0000-0000-00001A000000}"/>
    <cellStyle name="60% - Accent6 2" xfId="27" xr:uid="{00000000-0005-0000-0000-00001B000000}"/>
    <cellStyle name="Accent1 2" xfId="28" xr:uid="{00000000-0005-0000-0000-00001C000000}"/>
    <cellStyle name="Accent2 2" xfId="29" xr:uid="{00000000-0005-0000-0000-00001D000000}"/>
    <cellStyle name="Accent3 2" xfId="30" xr:uid="{00000000-0005-0000-0000-00001E000000}"/>
    <cellStyle name="Accent4 2" xfId="31" xr:uid="{00000000-0005-0000-0000-00001F000000}"/>
    <cellStyle name="Accent5 2" xfId="32" xr:uid="{00000000-0005-0000-0000-000020000000}"/>
    <cellStyle name="Accent6 2" xfId="33" xr:uid="{00000000-0005-0000-0000-000021000000}"/>
    <cellStyle name="AFE" xfId="34" xr:uid="{00000000-0005-0000-0000-000022000000}"/>
    <cellStyle name="Bad 2" xfId="35" xr:uid="{00000000-0005-0000-0000-000023000000}"/>
    <cellStyle name="Balance" xfId="36" xr:uid="{00000000-0005-0000-0000-000024000000}"/>
    <cellStyle name="BalanceSheet" xfId="37" xr:uid="{00000000-0005-0000-0000-000025000000}"/>
    <cellStyle name="Body_$Numeric" xfId="38" xr:uid="{00000000-0005-0000-0000-000026000000}"/>
    <cellStyle name="Bold Header" xfId="39" xr:uid="{00000000-0005-0000-0000-000027000000}"/>
    <cellStyle name="Calculation 2" xfId="40" xr:uid="{00000000-0005-0000-0000-000028000000}"/>
    <cellStyle name="CashFlow" xfId="41" xr:uid="{00000000-0005-0000-0000-000029000000}"/>
    <cellStyle name="ChartingText" xfId="185" xr:uid="{00000000-0005-0000-0000-00002A000000}"/>
    <cellStyle name="Check" xfId="42" xr:uid="{00000000-0005-0000-0000-00002B000000}"/>
    <cellStyle name="Check Cell 2" xfId="43" xr:uid="{00000000-0005-0000-0000-00002C000000}"/>
    <cellStyle name="CHPTop" xfId="186" xr:uid="{00000000-0005-0000-0000-00002D000000}"/>
    <cellStyle name="ColHeading" xfId="44" xr:uid="{00000000-0005-0000-0000-00002E000000}"/>
    <cellStyle name="colheadleft" xfId="45" xr:uid="{00000000-0005-0000-0000-00002F000000}"/>
    <cellStyle name="colheadright" xfId="46" xr:uid="{00000000-0005-0000-0000-000030000000}"/>
    <cellStyle name="ColumnHeaderNormal" xfId="187" xr:uid="{00000000-0005-0000-0000-000031000000}"/>
    <cellStyle name="Comma 2" xfId="47" xr:uid="{00000000-0005-0000-0000-000032000000}"/>
    <cellStyle name="Comma0" xfId="48" xr:uid="{00000000-0005-0000-0000-000033000000}"/>
    <cellStyle name="Comma2" xfId="49" xr:uid="{00000000-0005-0000-0000-000034000000}"/>
    <cellStyle name="Company" xfId="50" xr:uid="{00000000-0005-0000-0000-000035000000}"/>
    <cellStyle name="CurRatio" xfId="51" xr:uid="{00000000-0005-0000-0000-000036000000}"/>
    <cellStyle name="Currency [1]" xfId="52" xr:uid="{00000000-0005-0000-0000-000038000000}"/>
    <cellStyle name="Currency [2]" xfId="53" xr:uid="{00000000-0005-0000-0000-000039000000}"/>
    <cellStyle name="Currency--" xfId="188" xr:uid="{00000000-0005-0000-0000-000037000000}"/>
    <cellStyle name="Currency0" xfId="54" xr:uid="{00000000-0005-0000-0000-00003A000000}"/>
    <cellStyle name="Currency2" xfId="55" xr:uid="{00000000-0005-0000-0000-00003B000000}"/>
    <cellStyle name="d_yield" xfId="56" xr:uid="{00000000-0005-0000-0000-00003C000000}"/>
    <cellStyle name="d_yield_CW's MAKER MODEL" xfId="57" xr:uid="{00000000-0005-0000-0000-00003D000000}"/>
    <cellStyle name="d_yield_valuation" xfId="58" xr:uid="{00000000-0005-0000-0000-00003E000000}"/>
    <cellStyle name="Date [d-mmm-yy]" xfId="59" xr:uid="{00000000-0005-0000-0000-00003F000000}"/>
    <cellStyle name="Date [mm-d-yyyy]" xfId="191" xr:uid="{00000000-0005-0000-0000-000042000000}"/>
    <cellStyle name="Date [mm-dd-yy]" xfId="189" xr:uid="{00000000-0005-0000-0000-000040000000}"/>
    <cellStyle name="Date [mm-dd-yyyy]" xfId="190" xr:uid="{00000000-0005-0000-0000-000041000000}"/>
    <cellStyle name="Date [mmm-d-yyyy]" xfId="60" xr:uid="{00000000-0005-0000-0000-000043000000}"/>
    <cellStyle name="Date [mmm-yyyy]" xfId="61" xr:uid="{00000000-0005-0000-0000-000044000000}"/>
    <cellStyle name="Dates" xfId="62" xr:uid="{00000000-0005-0000-0000-000045000000}"/>
    <cellStyle name="DateYear" xfId="63" xr:uid="{00000000-0005-0000-0000-000046000000}"/>
    <cellStyle name="Dezimal_Capital expenditure planning FY 2000" xfId="64" xr:uid="{00000000-0005-0000-0000-000047000000}"/>
    <cellStyle name="Dollar" xfId="65" xr:uid="{00000000-0005-0000-0000-000048000000}"/>
    <cellStyle name="Dollars" xfId="66" xr:uid="{00000000-0005-0000-0000-000049000000}"/>
    <cellStyle name="DollarWhole" xfId="67" xr:uid="{00000000-0005-0000-0000-00004A000000}"/>
    <cellStyle name="eps" xfId="68" xr:uid="{00000000-0005-0000-0000-00004B000000}"/>
    <cellStyle name="eps$" xfId="69" xr:uid="{00000000-0005-0000-0000-00004C000000}"/>
    <cellStyle name="eps$A" xfId="70" xr:uid="{00000000-0005-0000-0000-00004D000000}"/>
    <cellStyle name="eps$E" xfId="71" xr:uid="{00000000-0005-0000-0000-00004E000000}"/>
    <cellStyle name="epsA" xfId="72" xr:uid="{00000000-0005-0000-0000-00004F000000}"/>
    <cellStyle name="EPSActual" xfId="73" xr:uid="{00000000-0005-0000-0000-000050000000}"/>
    <cellStyle name="epsE" xfId="74" xr:uid="{00000000-0005-0000-0000-000051000000}"/>
    <cellStyle name="EPSEstimate" xfId="75" xr:uid="{00000000-0005-0000-0000-000052000000}"/>
    <cellStyle name="Euro" xfId="76" xr:uid="{00000000-0005-0000-0000-000053000000}"/>
    <cellStyle name="Explanatory Text 2" xfId="77" xr:uid="{00000000-0005-0000-0000-000054000000}"/>
    <cellStyle name="fy_eps$" xfId="78" xr:uid="{00000000-0005-0000-0000-000055000000}"/>
    <cellStyle name="g_rate" xfId="79" xr:uid="{00000000-0005-0000-0000-000056000000}"/>
    <cellStyle name="g_rate_CW's MAKER MODEL" xfId="80" xr:uid="{00000000-0005-0000-0000-000057000000}"/>
    <cellStyle name="g_rate_valuation" xfId="81" xr:uid="{00000000-0005-0000-0000-000058000000}"/>
    <cellStyle name="General" xfId="82" xr:uid="{00000000-0005-0000-0000-000059000000}"/>
    <cellStyle name="Good 2" xfId="83" xr:uid="{00000000-0005-0000-0000-00005A000000}"/>
    <cellStyle name="GrowthRate" xfId="84" xr:uid="{00000000-0005-0000-0000-00005B000000}"/>
    <cellStyle name="GrowthSeq" xfId="85" xr:uid="{00000000-0005-0000-0000-00005C000000}"/>
    <cellStyle name="Hard Number Input" xfId="86" xr:uid="{00000000-0005-0000-0000-00005D000000}"/>
    <cellStyle name="Heading 1 2" xfId="87" xr:uid="{00000000-0005-0000-0000-00005E000000}"/>
    <cellStyle name="Heading 2 2" xfId="88" xr:uid="{00000000-0005-0000-0000-00005F000000}"/>
    <cellStyle name="Heading 3 2" xfId="89" xr:uid="{00000000-0005-0000-0000-000060000000}"/>
    <cellStyle name="Heading 4 2" xfId="90" xr:uid="{00000000-0005-0000-0000-000061000000}"/>
    <cellStyle name="Historical Number" xfId="91" xr:uid="{00000000-0005-0000-0000-000062000000}"/>
    <cellStyle name="Hyperlink" xfId="210" builtinId="8"/>
    <cellStyle name="iemens" xfId="92" xr:uid="{00000000-0005-0000-0000-000064000000}"/>
    <cellStyle name="Income" xfId="93" xr:uid="{00000000-0005-0000-0000-000065000000}"/>
    <cellStyle name="IncomeStatement" xfId="94" xr:uid="{00000000-0005-0000-0000-000066000000}"/>
    <cellStyle name="Input 2" xfId="95" xr:uid="{00000000-0005-0000-0000-000067000000}"/>
    <cellStyle name="Input Fixed [0]" xfId="96" xr:uid="{00000000-0005-0000-0000-000068000000}"/>
    <cellStyle name="Integer" xfId="97" xr:uid="{00000000-0005-0000-0000-000069000000}"/>
    <cellStyle name="Inverse Header" xfId="98" xr:uid="{00000000-0005-0000-0000-00006A000000}"/>
    <cellStyle name="Invisible" xfId="192" xr:uid="{00000000-0005-0000-0000-00006B000000}"/>
    <cellStyle name="Item" xfId="99" xr:uid="{00000000-0005-0000-0000-00006C000000}"/>
    <cellStyle name="ItemTypeClass" xfId="100" xr:uid="{00000000-0005-0000-0000-00006D000000}"/>
    <cellStyle name="Linked Cell 2" xfId="101" xr:uid="{00000000-0005-0000-0000-00006E000000}"/>
    <cellStyle name="LTGR" xfId="102" xr:uid="{00000000-0005-0000-0000-00006F000000}"/>
    <cellStyle name="m" xfId="103" xr:uid="{00000000-0005-0000-0000-000070000000}"/>
    <cellStyle name="m_CW's MAKER MODEL" xfId="105" xr:uid="{00000000-0005-0000-0000-000073000000}"/>
    <cellStyle name="m_valuation" xfId="106" xr:uid="{00000000-0005-0000-0000-000074000000}"/>
    <cellStyle name="m/d/yy" xfId="193" xr:uid="{00000000-0005-0000-0000-000072000000}"/>
    <cellStyle name="m$" xfId="104" xr:uid="{00000000-0005-0000-0000-000071000000}"/>
    <cellStyle name="Margin" xfId="107" xr:uid="{00000000-0005-0000-0000-000075000000}"/>
    <cellStyle name="Margins" xfId="108" xr:uid="{00000000-0005-0000-0000-000076000000}"/>
    <cellStyle name="mm" xfId="109" xr:uid="{00000000-0005-0000-0000-000077000000}"/>
    <cellStyle name="Multiple" xfId="110" xr:uid="{00000000-0005-0000-0000-000078000000}"/>
    <cellStyle name="MyStyle" xfId="194" xr:uid="{00000000-0005-0000-0000-000079000000}"/>
    <cellStyle name="NA is zero" xfId="111" xr:uid="{00000000-0005-0000-0000-00007A000000}"/>
    <cellStyle name="Neutral 2" xfId="112" xr:uid="{00000000-0005-0000-0000-00007B000000}"/>
    <cellStyle name="NewColumnHeaderNormal" xfId="195" xr:uid="{00000000-0005-0000-0000-00007C000000}"/>
    <cellStyle name="NewSectionHeaderNormal" xfId="196" xr:uid="{00000000-0005-0000-0000-00007D000000}"/>
    <cellStyle name="NewTitleNormal" xfId="197" xr:uid="{00000000-0005-0000-0000-00007E000000}"/>
    <cellStyle name="Normal" xfId="0" builtinId="0"/>
    <cellStyle name="Normal [0]" xfId="113" xr:uid="{00000000-0005-0000-0000-000081000000}"/>
    <cellStyle name="Normal [1]" xfId="114" xr:uid="{00000000-0005-0000-0000-000082000000}"/>
    <cellStyle name="Normal [2]" xfId="115" xr:uid="{00000000-0005-0000-0000-000083000000}"/>
    <cellStyle name="Normal [3]" xfId="116" xr:uid="{00000000-0005-0000-0000-000084000000}"/>
    <cellStyle name="Normal 2" xfId="117" xr:uid="{00000000-0005-0000-0000-000085000000}"/>
    <cellStyle name="Normal Bold" xfId="118" xr:uid="{00000000-0005-0000-0000-000086000000}"/>
    <cellStyle name="Normal Pct" xfId="119" xr:uid="{00000000-0005-0000-0000-000087000000}"/>
    <cellStyle name="Normal--" xfId="198" xr:uid="{00000000-0005-0000-0000-000080000000}"/>
    <cellStyle name="NormalX" xfId="120" xr:uid="{00000000-0005-0000-0000-000088000000}"/>
    <cellStyle name="Note 2" xfId="121" xr:uid="{00000000-0005-0000-0000-000089000000}"/>
    <cellStyle name="NPPESalesPct" xfId="122" xr:uid="{00000000-0005-0000-0000-00008A000000}"/>
    <cellStyle name="Number" xfId="123" xr:uid="{00000000-0005-0000-0000-00008B000000}"/>
    <cellStyle name="NWI%S" xfId="124" xr:uid="{00000000-0005-0000-0000-00008C000000}"/>
    <cellStyle name="Output 2" xfId="125" xr:uid="{00000000-0005-0000-0000-00008D000000}"/>
    <cellStyle name="P/E" xfId="126" xr:uid="{00000000-0005-0000-0000-00008E000000}"/>
    <cellStyle name="Palatino" xfId="127" xr:uid="{00000000-0005-0000-0000-00008F000000}"/>
    <cellStyle name="pc1" xfId="128" xr:uid="{00000000-0005-0000-0000-000090000000}"/>
    <cellStyle name="pe" xfId="129" xr:uid="{00000000-0005-0000-0000-000091000000}"/>
    <cellStyle name="PE/LTGR" xfId="130" xr:uid="{00000000-0005-0000-0000-000092000000}"/>
    <cellStyle name="PEG" xfId="131" xr:uid="{00000000-0005-0000-0000-000093000000}"/>
    <cellStyle name="Per cent" xfId="209" builtinId="5"/>
    <cellStyle name="Percent [0]" xfId="132" xr:uid="{00000000-0005-0000-0000-000094000000}"/>
    <cellStyle name="Percent [1]" xfId="133" xr:uid="{00000000-0005-0000-0000-000095000000}"/>
    <cellStyle name="Percent [2]" xfId="134" xr:uid="{00000000-0005-0000-0000-000096000000}"/>
    <cellStyle name="PercentChange" xfId="135" xr:uid="{00000000-0005-0000-0000-000097000000}"/>
    <cellStyle name="PercentPresentation" xfId="136" xr:uid="{00000000-0005-0000-0000-000098000000}"/>
    <cellStyle name="PerShare" xfId="137" xr:uid="{00000000-0005-0000-0000-000099000000}"/>
    <cellStyle name="POPS" xfId="138" xr:uid="{00000000-0005-0000-0000-00009A000000}"/>
    <cellStyle name="Presentation" xfId="139" xr:uid="{00000000-0005-0000-0000-00009B000000}"/>
    <cellStyle name="PresentationZero" xfId="140" xr:uid="{00000000-0005-0000-0000-00009C000000}"/>
    <cellStyle name="price" xfId="141" xr:uid="{00000000-0005-0000-0000-00009D000000}"/>
    <cellStyle name="q" xfId="142" xr:uid="{00000000-0005-0000-0000-00009E000000}"/>
    <cellStyle name="q_CW's MAKER MODEL" xfId="143" xr:uid="{00000000-0005-0000-0000-00009F000000}"/>
    <cellStyle name="QEPS-h" xfId="144" xr:uid="{00000000-0005-0000-0000-0000A0000000}"/>
    <cellStyle name="QEPS-H1" xfId="145" xr:uid="{00000000-0005-0000-0000-0000A1000000}"/>
    <cellStyle name="qRange" xfId="146" xr:uid="{00000000-0005-0000-0000-0000A2000000}"/>
    <cellStyle name="range" xfId="147" xr:uid="{00000000-0005-0000-0000-0000A3000000}"/>
    <cellStyle name="RatioX" xfId="148" xr:uid="{00000000-0005-0000-0000-0000A4000000}"/>
    <cellStyle name="Red font" xfId="199" xr:uid="{00000000-0005-0000-0000-0000A5000000}"/>
    <cellStyle name="Report" xfId="149" xr:uid="{00000000-0005-0000-0000-0000A6000000}"/>
    <cellStyle name="Right" xfId="150" xr:uid="{00000000-0005-0000-0000-0000A7000000}"/>
    <cellStyle name="SectionHeaderNormal" xfId="200" xr:uid="{00000000-0005-0000-0000-0000A8000000}"/>
    <cellStyle name="SectionHeading" xfId="151" xr:uid="{00000000-0005-0000-0000-0000A9000000}"/>
    <cellStyle name="Shares" xfId="152" xr:uid="{00000000-0005-0000-0000-0000AA000000}"/>
    <cellStyle name="StockPrice" xfId="153" xr:uid="{00000000-0005-0000-0000-0000AB000000}"/>
    <cellStyle name="Style 1" xfId="154" xr:uid="{00000000-0005-0000-0000-0000AC000000}"/>
    <cellStyle name="Style 21" xfId="155" xr:uid="{00000000-0005-0000-0000-0000AD000000}"/>
    <cellStyle name="Style 22" xfId="156" xr:uid="{00000000-0005-0000-0000-0000AE000000}"/>
    <cellStyle name="Style 23" xfId="157" xr:uid="{00000000-0005-0000-0000-0000AF000000}"/>
    <cellStyle name="Style 24" xfId="158" xr:uid="{00000000-0005-0000-0000-0000B0000000}"/>
    <cellStyle name="Style 26" xfId="159" xr:uid="{00000000-0005-0000-0000-0000B1000000}"/>
    <cellStyle name="Style 27" xfId="160" xr:uid="{00000000-0005-0000-0000-0000B2000000}"/>
    <cellStyle name="Style 34" xfId="161" xr:uid="{00000000-0005-0000-0000-0000B3000000}"/>
    <cellStyle name="Style 37" xfId="162" xr:uid="{00000000-0005-0000-0000-0000B4000000}"/>
    <cellStyle name="Style 63" xfId="163" xr:uid="{00000000-0005-0000-0000-0000B5000000}"/>
    <cellStyle name="SubDollar" xfId="164" xr:uid="{00000000-0005-0000-0000-0000B6000000}"/>
    <cellStyle name="SubGrowth" xfId="165" xr:uid="{00000000-0005-0000-0000-0000B7000000}"/>
    <cellStyle name="SubGrowthRate" xfId="166" xr:uid="{00000000-0005-0000-0000-0000B8000000}"/>
    <cellStyle name="SubMargins" xfId="167" xr:uid="{00000000-0005-0000-0000-0000B9000000}"/>
    <cellStyle name="SubPenetration" xfId="168" xr:uid="{00000000-0005-0000-0000-0000BA000000}"/>
    <cellStyle name="Subscribers" xfId="169" xr:uid="{00000000-0005-0000-0000-0000BB000000}"/>
    <cellStyle name="SubScript" xfId="201" xr:uid="{00000000-0005-0000-0000-0000BC000000}"/>
    <cellStyle name="SubVariable" xfId="170" xr:uid="{00000000-0005-0000-0000-0000BD000000}"/>
    <cellStyle name="SuperScript" xfId="202" xr:uid="{00000000-0005-0000-0000-0000BE000000}"/>
    <cellStyle name="tcn" xfId="171" xr:uid="{00000000-0005-0000-0000-0000BF000000}"/>
    <cellStyle name="TextBold" xfId="203" xr:uid="{00000000-0005-0000-0000-0000C0000000}"/>
    <cellStyle name="TextItalic" xfId="204" xr:uid="{00000000-0005-0000-0000-0000C1000000}"/>
    <cellStyle name="TextNormal" xfId="205" xr:uid="{00000000-0005-0000-0000-0000C2000000}"/>
    <cellStyle name="Times" xfId="206" xr:uid="{00000000-0005-0000-0000-0000C3000000}"/>
    <cellStyle name="Times [1]" xfId="172" xr:uid="{00000000-0005-0000-0000-0000C4000000}"/>
    <cellStyle name="Times [2]" xfId="173" xr:uid="{00000000-0005-0000-0000-0000C5000000}"/>
    <cellStyle name="Title 2" xfId="174" xr:uid="{00000000-0005-0000-0000-0000C6000000}"/>
    <cellStyle name="title2" xfId="175" xr:uid="{00000000-0005-0000-0000-0000C7000000}"/>
    <cellStyle name="TitleII" xfId="176" xr:uid="{00000000-0005-0000-0000-0000C8000000}"/>
    <cellStyle name="TitleNormal" xfId="207" xr:uid="{00000000-0005-0000-0000-0000C9000000}"/>
    <cellStyle name="Titles" xfId="177" xr:uid="{00000000-0005-0000-0000-0000CA000000}"/>
    <cellStyle name="TitleSub" xfId="178" xr:uid="{00000000-0005-0000-0000-0000CB000000}"/>
    <cellStyle name="tn" xfId="179" xr:uid="{00000000-0005-0000-0000-0000CC000000}"/>
    <cellStyle name="Total 2" xfId="180" xr:uid="{00000000-0005-0000-0000-0000CD000000}"/>
    <cellStyle name="Warning Text 2" xfId="181" xr:uid="{00000000-0005-0000-0000-0000CE000000}"/>
    <cellStyle name="WholeNumber" xfId="182" xr:uid="{00000000-0005-0000-0000-0000CF000000}"/>
    <cellStyle name="Year&quot;E&quot;" xfId="183" xr:uid="{00000000-0005-0000-0000-0000D0000000}"/>
    <cellStyle name="Years" xfId="208" xr:uid="{00000000-0005-0000-0000-0000D1000000}"/>
  </cellStyles>
  <dxfs count="6">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ont>
        <b/>
        <i val="0"/>
        <strike val="0"/>
        <condense val="0"/>
        <extend val="0"/>
        <outline val="0"/>
        <shadow val="0"/>
        <u val="none"/>
        <vertAlign val="baseline"/>
        <sz val="11"/>
        <color theme="1"/>
        <name val="Calibri"/>
        <family val="2"/>
        <scheme val="minor"/>
      </font>
      <border diagonalUp="0" diagonalDown="0" outline="0">
        <left/>
        <right/>
        <top/>
        <bottom style="medium">
          <color rgb="FF000000"/>
        </bottom>
      </border>
    </dxf>
    <dxf>
      <border diagonalUp="0" diagonalDown="0" outline="0">
        <left/>
        <right/>
        <top/>
        <bottom style="medium">
          <color rgb="FF000000"/>
        </bottom>
      </border>
    </dxf>
    <dxf>
      <border outline="0">
        <bottom style="medium">
          <color rgb="FF000000"/>
        </bottom>
      </border>
    </dxf>
    <dxf>
      <border outline="0">
        <top style="medium">
          <color rgb="FF000000"/>
        </top>
      </border>
    </dxf>
  </dxfs>
  <tableStyles count="0" defaultTableStyle="TableStyleMedium2" defaultPivotStyle="PivotStyleLight16"/>
  <colors>
    <mruColors>
      <color rgb="FF0000FF"/>
      <color rgb="FFFFFF99"/>
      <color rgb="FF008000"/>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C1CE34-94D9-E64F-9BD3-D48B9B2D0732}" name="Table1" displayName="Table1" ref="A20:B28" headerRowCount="0" totalsRowShown="0" headerRowBorderDxfId="4" tableBorderDxfId="5">
  <tableColumns count="2">
    <tableColumn id="1" xr3:uid="{D57F9794-A804-9B42-BF12-2599EA833623}" name="Financial Statement Model for APPLE" headerRowDxfId="2"/>
    <tableColumn id="2" xr3:uid="{CB483C80-489D-A44B-98CC-6D2236FA1F4D}" name="Column1" headerRowDxfId="3"/>
  </tableColumns>
  <tableStyleInfo name="TableStyleLight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003D1-4632-934C-AD75-DBA31E02B095}">
  <dimension ref="A2:B28"/>
  <sheetViews>
    <sheetView tabSelected="1" zoomScale="120" zoomScaleNormal="120" workbookViewId="0">
      <selection activeCell="M18" sqref="M18"/>
    </sheetView>
  </sheetViews>
  <sheetFormatPr baseColWidth="10" defaultRowHeight="15"/>
  <cols>
    <col min="1" max="1" width="47.83203125" customWidth="1"/>
    <col min="2" max="2" width="74.83203125" customWidth="1"/>
  </cols>
  <sheetData>
    <row r="2" spans="1:2" ht="15" customHeight="1">
      <c r="A2" s="130" t="s">
        <v>168</v>
      </c>
      <c r="B2" s="130"/>
    </row>
    <row r="3" spans="1:2" ht="15" customHeight="1">
      <c r="A3" s="130"/>
      <c r="B3" s="130"/>
    </row>
    <row r="4" spans="1:2" ht="15" customHeight="1">
      <c r="A4" s="130"/>
      <c r="B4" s="130"/>
    </row>
    <row r="5" spans="1:2" ht="15" customHeight="1">
      <c r="A5" s="130"/>
      <c r="B5" s="130"/>
    </row>
    <row r="6" spans="1:2" ht="15" customHeight="1">
      <c r="A6" s="130"/>
      <c r="B6" s="130"/>
    </row>
    <row r="7" spans="1:2" ht="15" customHeight="1">
      <c r="A7" s="130"/>
      <c r="B7" s="130"/>
    </row>
    <row r="8" spans="1:2" ht="15" customHeight="1">
      <c r="A8" s="130"/>
      <c r="B8" s="130"/>
    </row>
    <row r="9" spans="1:2" ht="15" customHeight="1">
      <c r="A9" s="130"/>
      <c r="B9" s="130"/>
    </row>
    <row r="10" spans="1:2" ht="15" customHeight="1">
      <c r="A10" s="130"/>
      <c r="B10" s="130"/>
    </row>
    <row r="11" spans="1:2" ht="15" customHeight="1">
      <c r="A11" s="130"/>
      <c r="B11" s="130"/>
    </row>
    <row r="12" spans="1:2" ht="15" customHeight="1">
      <c r="A12" s="130"/>
      <c r="B12" s="130"/>
    </row>
    <row r="13" spans="1:2" ht="15" customHeight="1">
      <c r="A13" s="130"/>
      <c r="B13" s="130"/>
    </row>
    <row r="14" spans="1:2" ht="15" customHeight="1">
      <c r="A14" s="130"/>
      <c r="B14" s="130"/>
    </row>
    <row r="15" spans="1:2" ht="15" customHeight="1">
      <c r="A15" s="130"/>
      <c r="B15" s="130"/>
    </row>
    <row r="16" spans="1:2" ht="15" customHeight="1">
      <c r="A16" s="130"/>
      <c r="B16" s="130"/>
    </row>
    <row r="17" spans="1:2" ht="15" customHeight="1">
      <c r="A17" s="130"/>
      <c r="B17" s="130"/>
    </row>
    <row r="18" spans="1:2" ht="15" customHeight="1">
      <c r="A18" s="130"/>
      <c r="B18" s="130"/>
    </row>
    <row r="19" spans="1:2" ht="16" thickBot="1"/>
    <row r="20" spans="1:2">
      <c r="A20" s="2" t="s">
        <v>45</v>
      </c>
      <c r="B20" s="39"/>
    </row>
    <row r="22" spans="1:2">
      <c r="A22" s="1" t="s">
        <v>5</v>
      </c>
      <c r="B22" s="131" t="s">
        <v>167</v>
      </c>
    </row>
    <row r="23" spans="1:2">
      <c r="A23" s="1" t="s">
        <v>6</v>
      </c>
      <c r="B23" s="57" t="s">
        <v>50</v>
      </c>
    </row>
    <row r="24" spans="1:2">
      <c r="A24" t="s">
        <v>96</v>
      </c>
      <c r="B24" s="58">
        <v>1</v>
      </c>
    </row>
    <row r="25" spans="1:2">
      <c r="A25" t="s">
        <v>72</v>
      </c>
      <c r="B25" s="59">
        <v>171.25</v>
      </c>
    </row>
    <row r="26" spans="1:2">
      <c r="A26" t="s">
        <v>9</v>
      </c>
      <c r="B26" s="60">
        <v>43500</v>
      </c>
    </row>
    <row r="27" spans="1:2">
      <c r="A27" s="1" t="s">
        <v>8</v>
      </c>
      <c r="B27" s="61">
        <v>43372</v>
      </c>
    </row>
    <row r="28" spans="1:2">
      <c r="A28" t="s">
        <v>157</v>
      </c>
      <c r="B28" s="72">
        <v>4745.3980000000001</v>
      </c>
    </row>
  </sheetData>
  <mergeCells count="1">
    <mergeCell ref="A2:B18"/>
  </mergeCells>
  <dataValidations count="2">
    <dataValidation type="list" allowBlank="1" showInputMessage="1" showErrorMessage="1" sqref="B24" xr:uid="{74B25D76-57CB-064B-8C12-F2D704522F57}">
      <formula1>"0,1"</formula1>
    </dataValidation>
    <dataValidation type="list" allowBlank="1" showInputMessage="1" showErrorMessage="1" sqref="A20" xr:uid="{78480D36-F77C-C54A-BDD1-E4BB0A6D5D72}">
      <formula1>"$ bns except per share, $ mm except per share,$ in thousands except per share"</formula1>
    </dataValidation>
  </dataValidations>
  <hyperlinks>
    <hyperlink ref="B22" location="'Apple Forecasting'!A1" display="APPLE" xr:uid="{EA9692E0-193E-4F46-8BEC-0588D0D89ABF}"/>
  </hyperlinks>
  <pageMargins left="0.7" right="0.7" top="0.75" bottom="0.75" header="0.3" footer="0.3"/>
  <pageSetup paperSize="9" orientation="portrait" horizontalDpi="0" verticalDpi="0"/>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31A15-E02B-4611-BF41-379BE90E314A}">
  <dimension ref="C1:AM167"/>
  <sheetViews>
    <sheetView zoomScale="95" zoomScaleNormal="95" workbookViewId="0"/>
  </sheetViews>
  <sheetFormatPr baseColWidth="10" defaultColWidth="8.83203125" defaultRowHeight="15"/>
  <cols>
    <col min="1" max="2" width="1.6640625" customWidth="1"/>
    <col min="3" max="3" width="47.6640625" bestFit="1" customWidth="1"/>
    <col min="4" max="4" width="12.1640625" customWidth="1"/>
    <col min="5" max="6" width="11.5" customWidth="1"/>
    <col min="7" max="7" width="12" customWidth="1"/>
    <col min="8" max="14" width="11.5" customWidth="1"/>
    <col min="15" max="15" width="2.33203125" customWidth="1"/>
    <col min="16" max="16" width="70.6640625" bestFit="1" customWidth="1"/>
    <col min="17" max="17" width="79.5" bestFit="1" customWidth="1"/>
    <col min="18" max="20" width="10.33203125" bestFit="1" customWidth="1"/>
    <col min="21" max="21" width="9.5" bestFit="1" customWidth="1"/>
    <col min="22" max="22" width="29.5" bestFit="1" customWidth="1"/>
  </cols>
  <sheetData>
    <row r="1" spans="3:16">
      <c r="C1" s="126" t="s">
        <v>165</v>
      </c>
      <c r="D1" s="126"/>
      <c r="E1" s="126"/>
      <c r="F1" s="126"/>
      <c r="G1" s="126"/>
      <c r="H1" s="126"/>
      <c r="I1" s="126"/>
      <c r="J1" s="126"/>
      <c r="K1" s="126"/>
      <c r="L1" s="126"/>
      <c r="M1" s="126"/>
      <c r="N1" s="126"/>
    </row>
    <row r="2" spans="3:16">
      <c r="C2" s="126"/>
      <c r="D2" s="126"/>
      <c r="E2" s="126"/>
      <c r="F2" s="126"/>
      <c r="G2" s="126"/>
      <c r="H2" s="126"/>
      <c r="I2" s="126"/>
      <c r="J2" s="126"/>
      <c r="K2" s="126"/>
      <c r="L2" s="126"/>
      <c r="M2" s="126"/>
      <c r="N2" s="126"/>
    </row>
    <row r="3" spans="3:16">
      <c r="C3" s="126"/>
      <c r="D3" s="126"/>
      <c r="E3" s="126"/>
      <c r="F3" s="126"/>
      <c r="G3" s="126"/>
      <c r="H3" s="126"/>
      <c r="I3" s="126"/>
      <c r="J3" s="126"/>
      <c r="K3" s="126"/>
      <c r="L3" s="126"/>
      <c r="M3" s="126"/>
      <c r="N3" s="126"/>
    </row>
    <row r="4" spans="3:16" ht="15" customHeight="1">
      <c r="C4" s="126"/>
      <c r="D4" s="126"/>
      <c r="E4" s="126"/>
      <c r="F4" s="126"/>
      <c r="G4" s="126"/>
      <c r="H4" s="126"/>
      <c r="I4" s="126"/>
      <c r="J4" s="126"/>
      <c r="K4" s="126"/>
      <c r="L4" s="126"/>
      <c r="M4" s="126"/>
      <c r="N4" s="126"/>
    </row>
    <row r="5" spans="3:16" ht="15" customHeight="1">
      <c r="C5" s="126"/>
      <c r="D5" s="126"/>
      <c r="E5" s="126"/>
      <c r="F5" s="126"/>
      <c r="G5" s="126"/>
      <c r="H5" s="126"/>
      <c r="I5" s="126"/>
      <c r="J5" s="126"/>
      <c r="K5" s="126"/>
      <c r="L5" s="126"/>
      <c r="M5" s="126"/>
      <c r="N5" s="126"/>
    </row>
    <row r="6" spans="3:16" ht="15" customHeight="1">
      <c r="C6" s="126"/>
      <c r="D6" s="126"/>
      <c r="E6" s="126"/>
      <c r="F6" s="126"/>
      <c r="G6" s="126"/>
      <c r="H6" s="126"/>
      <c r="I6" s="126"/>
      <c r="J6" s="126"/>
      <c r="K6" s="126"/>
      <c r="L6" s="126"/>
      <c r="M6" s="126"/>
      <c r="N6" s="126"/>
    </row>
    <row r="7" spans="3:16" ht="16" thickBot="1"/>
    <row r="8" spans="3:16" ht="16" thickBot="1">
      <c r="C8" s="52" t="str">
        <f>"Financial Statement Model for "&amp;D11</f>
        <v>Financial Statement Model for Apple</v>
      </c>
      <c r="D8" s="42"/>
      <c r="E8" s="42"/>
      <c r="F8" s="42"/>
      <c r="G8" s="42"/>
      <c r="H8" s="42"/>
      <c r="I8" s="42"/>
      <c r="J8" s="42"/>
      <c r="K8" s="42"/>
      <c r="L8" s="42"/>
      <c r="M8" s="42"/>
      <c r="N8" s="42"/>
      <c r="P8" t="s">
        <v>158</v>
      </c>
    </row>
    <row r="9" spans="3:16">
      <c r="C9" s="2" t="s">
        <v>45</v>
      </c>
      <c r="D9" s="39"/>
      <c r="E9" s="39"/>
      <c r="F9" s="39"/>
      <c r="G9" s="39"/>
      <c r="H9" s="39"/>
    </row>
    <row r="11" spans="3:16">
      <c r="C11" s="1" t="s">
        <v>5</v>
      </c>
      <c r="D11" s="57" t="s">
        <v>49</v>
      </c>
    </row>
    <row r="12" spans="3:16">
      <c r="C12" s="1" t="s">
        <v>6</v>
      </c>
      <c r="D12" s="57" t="s">
        <v>50</v>
      </c>
    </row>
    <row r="13" spans="3:16">
      <c r="C13" t="s">
        <v>96</v>
      </c>
      <c r="D13" s="58">
        <v>1</v>
      </c>
    </row>
    <row r="14" spans="3:16">
      <c r="C14" t="s">
        <v>72</v>
      </c>
      <c r="D14" s="59">
        <v>171.25</v>
      </c>
    </row>
    <row r="15" spans="3:16">
      <c r="C15" t="s">
        <v>9</v>
      </c>
      <c r="D15" s="60">
        <v>43500</v>
      </c>
    </row>
    <row r="16" spans="3:16">
      <c r="C16" s="1" t="s">
        <v>8</v>
      </c>
      <c r="D16" s="61">
        <v>43372</v>
      </c>
      <c r="G16" s="77"/>
    </row>
    <row r="17" spans="3:39" ht="15" customHeight="1">
      <c r="C17" t="s">
        <v>157</v>
      </c>
      <c r="D17" s="72">
        <v>4745.3980000000001</v>
      </c>
    </row>
    <row r="19" spans="3:39">
      <c r="C19" s="93" t="s">
        <v>19</v>
      </c>
      <c r="D19" s="6"/>
      <c r="E19" s="6"/>
      <c r="F19" s="6"/>
      <c r="G19" s="6"/>
      <c r="H19" s="6"/>
      <c r="I19" s="6"/>
      <c r="J19" s="6"/>
      <c r="K19" s="6"/>
      <c r="L19" s="83"/>
      <c r="M19" s="83"/>
      <c r="N19" s="83"/>
    </row>
    <row r="20" spans="3:39">
      <c r="C20" t="s">
        <v>10</v>
      </c>
      <c r="D20" s="7">
        <f>E20-1</f>
        <v>2016</v>
      </c>
      <c r="E20" s="7">
        <f>F20-1</f>
        <v>2017</v>
      </c>
      <c r="F20" s="7">
        <f>YEAR(D16)</f>
        <v>2018</v>
      </c>
      <c r="G20" s="8">
        <f>F20+1</f>
        <v>2019</v>
      </c>
      <c r="H20" s="8">
        <f>G20+1</f>
        <v>2020</v>
      </c>
      <c r="I20" s="8">
        <f>H20+1</f>
        <v>2021</v>
      </c>
      <c r="J20" s="8">
        <f>I20+1</f>
        <v>2022</v>
      </c>
      <c r="K20" s="8">
        <f>J20+1</f>
        <v>2023</v>
      </c>
      <c r="L20" s="89">
        <f t="shared" ref="L20:N20" si="0">K20+1</f>
        <v>2024</v>
      </c>
      <c r="M20" s="89">
        <f t="shared" si="0"/>
        <v>2025</v>
      </c>
      <c r="N20" s="89">
        <f t="shared" si="0"/>
        <v>2026</v>
      </c>
    </row>
    <row r="21" spans="3:39">
      <c r="C21" s="9" t="s">
        <v>7</v>
      </c>
      <c r="D21" s="48">
        <f>EOMONTH(E21,-12)</f>
        <v>42643</v>
      </c>
      <c r="E21" s="48">
        <f>EOMONTH(F21,-12)</f>
        <v>43008</v>
      </c>
      <c r="F21" s="48">
        <f>D16</f>
        <v>43372</v>
      </c>
      <c r="G21" s="48">
        <f>EOMONTH(F21,12)</f>
        <v>43738</v>
      </c>
      <c r="H21" s="48">
        <f>EOMONTH(G21,12)</f>
        <v>44104</v>
      </c>
      <c r="I21" s="48">
        <f>EOMONTH(H21,12)</f>
        <v>44469</v>
      </c>
      <c r="J21" s="48">
        <f>EOMONTH(I21,12)</f>
        <v>44834</v>
      </c>
      <c r="K21" s="48">
        <f>EOMONTH(J21,12)</f>
        <v>45199</v>
      </c>
      <c r="L21" s="48">
        <f t="shared" ref="L21:N21" si="1">EOMONTH(K21,12)</f>
        <v>45565</v>
      </c>
      <c r="M21" s="48">
        <f t="shared" si="1"/>
        <v>45930</v>
      </c>
      <c r="N21" s="48">
        <f t="shared" si="1"/>
        <v>46295</v>
      </c>
      <c r="P21" s="92"/>
      <c r="Q21" s="83"/>
      <c r="R21" s="83"/>
      <c r="S21" s="83"/>
      <c r="T21" s="83"/>
      <c r="U21" s="83"/>
      <c r="V21" s="83"/>
      <c r="W21" s="83"/>
      <c r="X21" s="83"/>
      <c r="Y21" s="83"/>
      <c r="Z21" s="83"/>
      <c r="AA21" s="83"/>
      <c r="AB21" s="83"/>
      <c r="AC21" s="83"/>
      <c r="AD21" s="83"/>
      <c r="AE21" s="83"/>
      <c r="AF21" s="83"/>
      <c r="AG21" s="83"/>
      <c r="AH21" s="83"/>
      <c r="AI21" s="83"/>
      <c r="AJ21" s="83"/>
      <c r="AK21" s="83"/>
      <c r="AL21" s="83"/>
      <c r="AM21" s="83"/>
    </row>
    <row r="22" spans="3:39">
      <c r="C22" s="11"/>
      <c r="D22" s="12"/>
      <c r="E22" s="13"/>
      <c r="F22" s="13"/>
      <c r="G22" s="45"/>
      <c r="H22" s="46"/>
      <c r="I22" s="46"/>
      <c r="J22" s="13"/>
      <c r="K22" s="13"/>
      <c r="L22" s="13"/>
      <c r="M22" s="13"/>
      <c r="N22" s="13"/>
    </row>
    <row r="23" spans="3:39">
      <c r="C23" t="s">
        <v>11</v>
      </c>
      <c r="D23" s="3">
        <v>215639</v>
      </c>
      <c r="E23" s="3">
        <v>229234</v>
      </c>
      <c r="F23" s="3">
        <v>265595</v>
      </c>
      <c r="G23" s="94">
        <f>F23*(1+G42)</f>
        <v>254971.19999999998</v>
      </c>
      <c r="H23" s="94">
        <f t="shared" ref="H23:K23" si="2">G23*(1+H42)</f>
        <v>270269.47200000001</v>
      </c>
      <c r="I23" s="94">
        <f>H23*(1+I42)</f>
        <v>288918.06556800002</v>
      </c>
      <c r="J23" s="94">
        <f t="shared" si="2"/>
        <v>308853.41209219198</v>
      </c>
      <c r="K23" s="94">
        <f t="shared" si="2"/>
        <v>330164.29752655321</v>
      </c>
      <c r="L23" s="94">
        <f t="shared" ref="L23" si="3">K23*(1+L42)</f>
        <v>352945.63405588537</v>
      </c>
      <c r="M23" s="94">
        <f t="shared" ref="M23" si="4">L23*(1+M42)</f>
        <v>377298.88280574145</v>
      </c>
      <c r="N23" s="94">
        <f t="shared" ref="N23" si="5">M23*(1+N42)</f>
        <v>403332.50571933761</v>
      </c>
    </row>
    <row r="24" spans="3:39">
      <c r="C24" t="s">
        <v>14</v>
      </c>
      <c r="D24" s="3">
        <v>-131376</v>
      </c>
      <c r="E24" s="3">
        <v>-141048</v>
      </c>
      <c r="F24" s="3">
        <v>-163756</v>
      </c>
      <c r="G24" s="94">
        <f>G25-G23</f>
        <v>-158592.08639999997</v>
      </c>
      <c r="H24" s="94">
        <f t="shared" ref="H24:N24" si="6">H25-H23</f>
        <v>-167296.80316800001</v>
      </c>
      <c r="I24" s="94">
        <f t="shared" si="6"/>
        <v>-178551.36452102399</v>
      </c>
      <c r="J24" s="94">
        <f t="shared" si="6"/>
        <v>-190871.40867297465</v>
      </c>
      <c r="K24" s="94">
        <f t="shared" si="6"/>
        <v>-204041.53587140987</v>
      </c>
      <c r="L24" s="94">
        <f t="shared" si="6"/>
        <v>-218120.40184653716</v>
      </c>
      <c r="M24" s="94">
        <f t="shared" si="6"/>
        <v>-233170.7095739482</v>
      </c>
      <c r="N24" s="94">
        <f t="shared" si="6"/>
        <v>-249259.48853455065</v>
      </c>
    </row>
    <row r="25" spans="3:39">
      <c r="C25" s="15" t="s">
        <v>13</v>
      </c>
      <c r="D25" s="16">
        <f>SUM(D23:D24)</f>
        <v>84263</v>
      </c>
      <c r="E25" s="16">
        <f>SUM(E23:E24)</f>
        <v>88186</v>
      </c>
      <c r="F25" s="16">
        <f>SUM(F23:F24)</f>
        <v>101839</v>
      </c>
      <c r="G25" s="95">
        <f>G23*G43</f>
        <v>96379.113599999997</v>
      </c>
      <c r="H25" s="95">
        <f>H23*H43</f>
        <v>102972.66883200001</v>
      </c>
      <c r="I25" s="95">
        <f>I23*I43</f>
        <v>110366.70104697601</v>
      </c>
      <c r="J25" s="95">
        <f t="shared" ref="J25:N25" si="7">J23*J43</f>
        <v>117982.00341921733</v>
      </c>
      <c r="K25" s="95">
        <f t="shared" si="7"/>
        <v>126122.76165514333</v>
      </c>
      <c r="L25" s="95">
        <f t="shared" si="7"/>
        <v>134825.23220934821</v>
      </c>
      <c r="M25" s="95">
        <f t="shared" si="7"/>
        <v>144128.17323179325</v>
      </c>
      <c r="N25" s="95">
        <f t="shared" si="7"/>
        <v>154073.01718478696</v>
      </c>
      <c r="P25" s="47"/>
    </row>
    <row r="26" spans="3:39">
      <c r="C26" t="s">
        <v>51</v>
      </c>
      <c r="D26" s="3">
        <v>-10045</v>
      </c>
      <c r="E26" s="3">
        <v>-11581</v>
      </c>
      <c r="F26" s="3">
        <v>-14236</v>
      </c>
      <c r="G26" s="94">
        <f>-G23*G44</f>
        <v>-15808.214399999999</v>
      </c>
      <c r="H26" s="94">
        <f t="shared" ref="H26:N26" si="8">-H23*H44</f>
        <v>-17026.976736000001</v>
      </c>
      <c r="I26" s="94">
        <f t="shared" si="8"/>
        <v>-18201.838130784003</v>
      </c>
      <c r="J26" s="94">
        <f t="shared" si="8"/>
        <v>-19457.764961808094</v>
      </c>
      <c r="K26" s="94">
        <f t="shared" si="8"/>
        <v>-20800.350744172854</v>
      </c>
      <c r="L26" s="94">
        <f t="shared" si="8"/>
        <v>-22235.574945520777</v>
      </c>
      <c r="M26" s="94">
        <f t="shared" si="8"/>
        <v>-23769.829616761712</v>
      </c>
      <c r="N26" s="94">
        <f t="shared" si="8"/>
        <v>-25409.947860318269</v>
      </c>
      <c r="P26" s="47"/>
    </row>
    <row r="27" spans="3:39">
      <c r="C27" t="s">
        <v>16</v>
      </c>
      <c r="D27" s="3">
        <v>-14194</v>
      </c>
      <c r="E27" s="3">
        <v>-15261</v>
      </c>
      <c r="F27" s="3">
        <v>-16705</v>
      </c>
      <c r="G27" s="94">
        <f>-G45*G23</f>
        <v>-18867.868799999997</v>
      </c>
      <c r="H27" s="94">
        <f t="shared" ref="H27:N27" si="9">-H45*H23</f>
        <v>-18648.593568000004</v>
      </c>
      <c r="I27" s="94">
        <f t="shared" si="9"/>
        <v>-19935.346524192002</v>
      </c>
      <c r="J27" s="94">
        <f t="shared" si="9"/>
        <v>-21310.885434361247</v>
      </c>
      <c r="K27" s="94">
        <f t="shared" si="9"/>
        <v>-22781.336529332173</v>
      </c>
      <c r="L27" s="94">
        <f t="shared" si="9"/>
        <v>-24353.248749856091</v>
      </c>
      <c r="M27" s="94">
        <f t="shared" si="9"/>
        <v>-26033.622913596162</v>
      </c>
      <c r="N27" s="94">
        <f t="shared" si="9"/>
        <v>-27829.942894634296</v>
      </c>
      <c r="P27" s="47"/>
    </row>
    <row r="28" spans="3:39">
      <c r="C28" s="15" t="s">
        <v>3</v>
      </c>
      <c r="D28" s="16">
        <f>D25+D26+D27</f>
        <v>60024</v>
      </c>
      <c r="E28" s="16">
        <f>E25+E26+E27</f>
        <v>61344</v>
      </c>
      <c r="F28" s="16">
        <f>F25+F26+F27</f>
        <v>70898</v>
      </c>
      <c r="G28" s="95">
        <f>G25+G26+G27</f>
        <v>61703.030400000003</v>
      </c>
      <c r="H28" s="95">
        <f t="shared" ref="H28:N28" si="10">H25+H26+H27</f>
        <v>67297.098528000002</v>
      </c>
      <c r="I28" s="95">
        <f t="shared" si="10"/>
        <v>72229.516392000005</v>
      </c>
      <c r="J28" s="95">
        <f t="shared" si="10"/>
        <v>77213.353023047996</v>
      </c>
      <c r="K28" s="95">
        <f t="shared" si="10"/>
        <v>82541.074381638304</v>
      </c>
      <c r="L28" s="95">
        <f t="shared" si="10"/>
        <v>88236.408513971328</v>
      </c>
      <c r="M28" s="95">
        <f t="shared" si="10"/>
        <v>94324.720701435377</v>
      </c>
      <c r="N28" s="95">
        <f t="shared" si="10"/>
        <v>100833.1264298344</v>
      </c>
      <c r="P28" s="15"/>
    </row>
    <row r="29" spans="3:39">
      <c r="C29" t="s">
        <v>4</v>
      </c>
      <c r="D29" s="3">
        <v>3999</v>
      </c>
      <c r="E29" s="3">
        <v>5201</v>
      </c>
      <c r="F29" s="3">
        <v>5686</v>
      </c>
      <c r="G29" s="82">
        <f ca="1">G167</f>
        <v>4744.4371106301642</v>
      </c>
      <c r="H29" s="17">
        <f t="shared" ref="H29:N29" ca="1" si="11">H167</f>
        <v>4090.2133392642463</v>
      </c>
      <c r="I29" s="17">
        <f t="shared" ca="1" si="11"/>
        <v>3592.0870665129901</v>
      </c>
      <c r="J29" s="17">
        <f t="shared" ca="1" si="11"/>
        <v>3202.4518196139029</v>
      </c>
      <c r="K29" s="17">
        <f t="shared" ca="1" si="11"/>
        <v>2920.5157987643065</v>
      </c>
      <c r="L29" s="17">
        <f t="shared" ca="1" si="11"/>
        <v>2755.3112337606708</v>
      </c>
      <c r="M29" s="17">
        <f t="shared" ca="1" si="11"/>
        <v>2717.4480244932665</v>
      </c>
      <c r="N29" s="17">
        <f t="shared" ca="1" si="11"/>
        <v>2817.798506335906</v>
      </c>
    </row>
    <row r="30" spans="3:39">
      <c r="C30" t="s">
        <v>17</v>
      </c>
      <c r="D30" s="3">
        <v>-1456</v>
      </c>
      <c r="E30" s="3">
        <v>-2323</v>
      </c>
      <c r="F30" s="3">
        <v>-3240</v>
      </c>
      <c r="G30" s="17">
        <f ca="1">-G153</f>
        <v>-3223.1468651501777</v>
      </c>
      <c r="H30" s="17">
        <f t="shared" ref="H30:N30" ca="1" si="12">-H153</f>
        <v>-3223.5392651501775</v>
      </c>
      <c r="I30" s="17">
        <f t="shared" ca="1" si="12"/>
        <v>-3223.5392651501775</v>
      </c>
      <c r="J30" s="17">
        <f t="shared" ca="1" si="12"/>
        <v>-3223.5392651501775</v>
      </c>
      <c r="K30" s="17">
        <f t="shared" ca="1" si="12"/>
        <v>-3223.5392651501775</v>
      </c>
      <c r="L30" s="17">
        <f t="shared" ca="1" si="12"/>
        <v>-3223.5392651501775</v>
      </c>
      <c r="M30" s="17">
        <f t="shared" ca="1" si="12"/>
        <v>-3223.5392651501775</v>
      </c>
      <c r="N30" s="17">
        <f t="shared" ca="1" si="12"/>
        <v>-3223.5392651501775</v>
      </c>
    </row>
    <row r="31" spans="3:39">
      <c r="C31" t="s">
        <v>52</v>
      </c>
      <c r="D31" s="3">
        <v>-1195</v>
      </c>
      <c r="E31" s="3">
        <v>-133</v>
      </c>
      <c r="F31" s="3">
        <v>-441</v>
      </c>
      <c r="G31" s="96">
        <v>-441</v>
      </c>
      <c r="H31" s="96">
        <v>-441</v>
      </c>
      <c r="I31" s="96">
        <v>-441</v>
      </c>
      <c r="J31" s="96">
        <v>-441</v>
      </c>
      <c r="K31" s="96">
        <v>-441</v>
      </c>
      <c r="L31" s="96">
        <v>-441</v>
      </c>
      <c r="M31" s="96">
        <v>-441</v>
      </c>
      <c r="N31" s="96">
        <v>-441</v>
      </c>
    </row>
    <row r="32" spans="3:39">
      <c r="C32" s="15" t="s">
        <v>12</v>
      </c>
      <c r="D32" s="16">
        <f>SUM(D28:D31)</f>
        <v>61372</v>
      </c>
      <c r="E32" s="16">
        <f>SUM(E28:E31)</f>
        <v>64089</v>
      </c>
      <c r="F32" s="16">
        <f>SUM(F28:F31)</f>
        <v>72903</v>
      </c>
      <c r="G32" s="97">
        <f ca="1">G28+G29+G30+G31</f>
        <v>62783.320645479995</v>
      </c>
      <c r="H32" s="97">
        <f t="shared" ref="H32:N32" ca="1" si="13">H28+H29+H30+H31</f>
        <v>67722.77260211407</v>
      </c>
      <c r="I32" s="97">
        <f t="shared" ca="1" si="13"/>
        <v>72157.064193362821</v>
      </c>
      <c r="J32" s="97">
        <f t="shared" ca="1" si="13"/>
        <v>76751.265577511716</v>
      </c>
      <c r="K32" s="97">
        <f t="shared" ca="1" si="13"/>
        <v>81797.050915252432</v>
      </c>
      <c r="L32" s="97">
        <f t="shared" ca="1" si="13"/>
        <v>87327.180482581825</v>
      </c>
      <c r="M32" s="97">
        <f t="shared" ca="1" si="13"/>
        <v>93377.629460778466</v>
      </c>
      <c r="N32" s="97">
        <f t="shared" ca="1" si="13"/>
        <v>99986.385671020136</v>
      </c>
      <c r="P32" s="15"/>
      <c r="Q32" s="15"/>
    </row>
    <row r="33" spans="3:19">
      <c r="C33" t="s">
        <v>15</v>
      </c>
      <c r="D33" s="3">
        <v>-15685</v>
      </c>
      <c r="E33" s="3">
        <v>-15738</v>
      </c>
      <c r="F33" s="3">
        <v>-13372</v>
      </c>
      <c r="G33" s="94">
        <f ca="1">-G32*G46</f>
        <v>-10484.81454779516</v>
      </c>
      <c r="H33" s="94">
        <f t="shared" ref="H33:N33" ca="1" si="14">-H32*H46</f>
        <v>-11512.871342359393</v>
      </c>
      <c r="I33" s="94">
        <f t="shared" ca="1" si="14"/>
        <v>-12194.543848678317</v>
      </c>
      <c r="J33" s="94">
        <f t="shared" ca="1" si="14"/>
        <v>-12970.963882599481</v>
      </c>
      <c r="K33" s="94">
        <f t="shared" ca="1" si="14"/>
        <v>-13823.701604677663</v>
      </c>
      <c r="L33" s="94">
        <f t="shared" ca="1" si="14"/>
        <v>-14758.293501556329</v>
      </c>
      <c r="M33" s="94">
        <f t="shared" ca="1" si="14"/>
        <v>-15780.819378871562</v>
      </c>
      <c r="N33" s="94">
        <f t="shared" ca="1" si="14"/>
        <v>-16897.699178402403</v>
      </c>
    </row>
    <row r="34" spans="3:19">
      <c r="C34" s="15" t="s">
        <v>2</v>
      </c>
      <c r="D34" s="16">
        <f>SUM(D32:D33)</f>
        <v>45687</v>
      </c>
      <c r="E34" s="16">
        <f>SUM(E32:E33)</f>
        <v>48351</v>
      </c>
      <c r="F34" s="16">
        <f>SUM(F32:F33)</f>
        <v>59531</v>
      </c>
      <c r="G34" s="95">
        <f ca="1">G32+G33</f>
        <v>52298.506097684833</v>
      </c>
      <c r="H34" s="95">
        <f t="shared" ref="H34:N34" ca="1" si="15">H32+H33</f>
        <v>56209.901259754675</v>
      </c>
      <c r="I34" s="95">
        <f t="shared" ca="1" si="15"/>
        <v>59962.520344684504</v>
      </c>
      <c r="J34" s="95">
        <f t="shared" ca="1" si="15"/>
        <v>63780.301694912239</v>
      </c>
      <c r="K34" s="95">
        <f t="shared" ca="1" si="15"/>
        <v>67973.349310574762</v>
      </c>
      <c r="L34" s="95">
        <f t="shared" ca="1" si="15"/>
        <v>72568.886981025498</v>
      </c>
      <c r="M34" s="95">
        <f t="shared" ca="1" si="15"/>
        <v>77596.810081906908</v>
      </c>
      <c r="N34" s="95">
        <f t="shared" ca="1" si="15"/>
        <v>83088.686492617737</v>
      </c>
      <c r="P34" s="15"/>
    </row>
    <row r="35" spans="3:19">
      <c r="C35" s="19"/>
      <c r="D35" s="17"/>
      <c r="E35" s="17"/>
      <c r="F35" s="17"/>
    </row>
    <row r="36" spans="3:19">
      <c r="C36" s="27" t="s">
        <v>48</v>
      </c>
      <c r="D36" s="3">
        <v>10505</v>
      </c>
      <c r="E36" s="3">
        <v>10157</v>
      </c>
      <c r="F36" s="3">
        <v>10903</v>
      </c>
      <c r="G36" s="17">
        <f>G112</f>
        <v>11085.020171261172</v>
      </c>
      <c r="H36" s="17">
        <f t="shared" ref="H36:N36" si="16">H112</f>
        <v>11711.890744865921</v>
      </c>
      <c r="I36" s="17">
        <f t="shared" si="16"/>
        <v>12226.380531123083</v>
      </c>
      <c r="J36" s="17">
        <f t="shared" si="16"/>
        <v>12764.000739954156</v>
      </c>
      <c r="K36" s="17">
        <f t="shared" si="16"/>
        <v>13332.335761941662</v>
      </c>
      <c r="L36" s="17">
        <f t="shared" si="16"/>
        <v>13753.832636719122</v>
      </c>
      <c r="M36" s="17">
        <f t="shared" si="16"/>
        <v>14184.816795856226</v>
      </c>
      <c r="N36" s="17">
        <f t="shared" si="16"/>
        <v>14625.942861973794</v>
      </c>
    </row>
    <row r="37" spans="3:19">
      <c r="C37" s="26" t="s">
        <v>46</v>
      </c>
      <c r="D37" s="16">
        <f>D28+D36</f>
        <v>70529</v>
      </c>
      <c r="E37" s="16">
        <f>E28+E36</f>
        <v>71501</v>
      </c>
      <c r="F37" s="16">
        <f>F28+F36</f>
        <v>81801</v>
      </c>
      <c r="G37" s="95">
        <f>G28+G36</f>
        <v>72788.050571261178</v>
      </c>
      <c r="H37" s="95">
        <f t="shared" ref="H37:N37" si="17">H28+H36</f>
        <v>79008.989272865918</v>
      </c>
      <c r="I37" s="95">
        <f t="shared" si="17"/>
        <v>84455.896923123088</v>
      </c>
      <c r="J37" s="95">
        <f t="shared" si="17"/>
        <v>89977.353763002146</v>
      </c>
      <c r="K37" s="95">
        <f t="shared" si="17"/>
        <v>95873.410143579968</v>
      </c>
      <c r="L37" s="95">
        <f t="shared" si="17"/>
        <v>101990.24115069045</v>
      </c>
      <c r="M37" s="95">
        <f t="shared" si="17"/>
        <v>108509.5374972916</v>
      </c>
      <c r="N37" s="95">
        <f t="shared" si="17"/>
        <v>115459.06929180819</v>
      </c>
      <c r="P37" s="15"/>
    </row>
    <row r="38" spans="3:19">
      <c r="C38" s="27" t="s">
        <v>73</v>
      </c>
      <c r="D38" s="3">
        <v>4210</v>
      </c>
      <c r="E38" s="3">
        <v>4840</v>
      </c>
      <c r="F38" s="3">
        <v>5340</v>
      </c>
      <c r="G38" s="98">
        <f>F38*(1+G42)</f>
        <v>5126.3999999999996</v>
      </c>
      <c r="H38" s="94">
        <f t="shared" ref="H38:K38" si="18">G38*(1+H42)</f>
        <v>5433.9839999999995</v>
      </c>
      <c r="I38" s="94">
        <f>H38*(1+I42)</f>
        <v>5808.9288959999994</v>
      </c>
      <c r="J38" s="94">
        <f t="shared" si="18"/>
        <v>6209.7449898239993</v>
      </c>
      <c r="K38" s="94">
        <f t="shared" si="18"/>
        <v>6638.2173941218552</v>
      </c>
      <c r="L38" s="94">
        <f t="shared" ref="L38" si="19">K38*(1+L42)</f>
        <v>7096.2543943162627</v>
      </c>
      <c r="M38" s="94">
        <f t="shared" ref="M38" si="20">L38*(1+M42)</f>
        <v>7585.8959475240845</v>
      </c>
      <c r="N38" s="94">
        <f t="shared" ref="N38" si="21">M38*(1+N42)</f>
        <v>8109.3227679032461</v>
      </c>
    </row>
    <row r="39" spans="3:19">
      <c r="C39" s="26" t="s">
        <v>71</v>
      </c>
      <c r="D39" s="16">
        <f>SUM(D37:D38)</f>
        <v>74739</v>
      </c>
      <c r="E39" s="16">
        <f>SUM(E37:E38)</f>
        <v>76341</v>
      </c>
      <c r="F39" s="16">
        <f>SUM(F37:F38)</f>
        <v>87141</v>
      </c>
      <c r="G39" s="95">
        <f>G37+G38</f>
        <v>77914.450571261172</v>
      </c>
      <c r="H39" s="95">
        <f t="shared" ref="H39:N39" si="22">H37+H38</f>
        <v>84442.973272865915</v>
      </c>
      <c r="I39" s="95">
        <f t="shared" si="22"/>
        <v>90264.825819123085</v>
      </c>
      <c r="J39" s="95">
        <f t="shared" si="22"/>
        <v>96187.098752826147</v>
      </c>
      <c r="K39" s="95">
        <f t="shared" si="22"/>
        <v>102511.62753770182</v>
      </c>
      <c r="L39" s="95">
        <f t="shared" si="22"/>
        <v>109086.49554500671</v>
      </c>
      <c r="M39" s="95">
        <f t="shared" si="22"/>
        <v>116095.43344481569</v>
      </c>
      <c r="N39" s="95">
        <f t="shared" si="22"/>
        <v>123568.39205971143</v>
      </c>
      <c r="P39" s="15"/>
    </row>
    <row r="40" spans="3:19">
      <c r="C40" s="19"/>
    </row>
    <row r="41" spans="3:19">
      <c r="C41" s="18" t="s">
        <v>18</v>
      </c>
    </row>
    <row r="42" spans="3:19">
      <c r="C42" s="19" t="s">
        <v>1</v>
      </c>
      <c r="D42" s="20"/>
      <c r="E42" s="20">
        <f>E23/D23-1</f>
        <v>6.304518199398057E-2</v>
      </c>
      <c r="F42" s="20">
        <f>F23/E23-1</f>
        <v>0.15861957650261305</v>
      </c>
      <c r="G42" s="99">
        <v>-0.04</v>
      </c>
      <c r="H42" s="100">
        <v>0.06</v>
      </c>
      <c r="I42" s="100">
        <v>6.9000000000000006E-2</v>
      </c>
      <c r="J42" s="101">
        <f>I42</f>
        <v>6.9000000000000006E-2</v>
      </c>
      <c r="K42" s="101">
        <f>I42</f>
        <v>6.9000000000000006E-2</v>
      </c>
      <c r="L42" s="101">
        <f t="shared" ref="L42:N46" si="23">J42</f>
        <v>6.9000000000000006E-2</v>
      </c>
      <c r="M42" s="101">
        <f t="shared" si="23"/>
        <v>6.9000000000000006E-2</v>
      </c>
      <c r="N42" s="101">
        <f t="shared" si="23"/>
        <v>6.9000000000000006E-2</v>
      </c>
      <c r="Q42" s="21"/>
      <c r="S42" s="21"/>
    </row>
    <row r="43" spans="3:19">
      <c r="C43" s="19" t="s">
        <v>150</v>
      </c>
      <c r="D43" s="20">
        <f>D25/D23</f>
        <v>0.39075955648097049</v>
      </c>
      <c r="E43" s="20">
        <f>E25/E23</f>
        <v>0.38469860491899105</v>
      </c>
      <c r="F43" s="20">
        <f>F25/F23</f>
        <v>0.38343718820007905</v>
      </c>
      <c r="G43" s="100">
        <v>0.378</v>
      </c>
      <c r="H43" s="100">
        <v>0.38100000000000001</v>
      </c>
      <c r="I43" s="100">
        <v>0.38200000000000001</v>
      </c>
      <c r="J43" s="101">
        <f>I43</f>
        <v>0.38200000000000001</v>
      </c>
      <c r="K43" s="101">
        <f>I43</f>
        <v>0.38200000000000001</v>
      </c>
      <c r="L43" s="101">
        <f t="shared" si="23"/>
        <v>0.38200000000000001</v>
      </c>
      <c r="M43" s="101">
        <f t="shared" si="23"/>
        <v>0.38200000000000001</v>
      </c>
      <c r="N43" s="101">
        <f t="shared" si="23"/>
        <v>0.38200000000000001</v>
      </c>
      <c r="Q43" s="21"/>
      <c r="R43" s="21"/>
      <c r="S43" s="21"/>
    </row>
    <row r="44" spans="3:19">
      <c r="C44" s="19" t="s">
        <v>151</v>
      </c>
      <c r="D44" s="20">
        <f>-D26/D23</f>
        <v>4.6582482760539605E-2</v>
      </c>
      <c r="E44" s="20">
        <f>-E26/E23</f>
        <v>5.0520428906706681E-2</v>
      </c>
      <c r="F44" s="20">
        <f>-F26/F23</f>
        <v>5.3600406634161032E-2</v>
      </c>
      <c r="G44" s="100">
        <v>6.2E-2</v>
      </c>
      <c r="H44" s="100">
        <v>6.3E-2</v>
      </c>
      <c r="I44" s="100">
        <v>6.3E-2</v>
      </c>
      <c r="J44" s="101">
        <f>I44</f>
        <v>6.3E-2</v>
      </c>
      <c r="K44" s="101">
        <f>I44</f>
        <v>6.3E-2</v>
      </c>
      <c r="L44" s="101">
        <f t="shared" si="23"/>
        <v>6.3E-2</v>
      </c>
      <c r="M44" s="101">
        <f t="shared" si="23"/>
        <v>6.3E-2</v>
      </c>
      <c r="N44" s="101">
        <f t="shared" si="23"/>
        <v>6.3E-2</v>
      </c>
      <c r="Q44" s="21"/>
      <c r="R44" s="21"/>
      <c r="S44" s="21"/>
    </row>
    <row r="45" spans="3:19">
      <c r="C45" s="19" t="s">
        <v>153</v>
      </c>
      <c r="D45" s="20">
        <f>-D27/D23</f>
        <v>6.5822972653369755E-2</v>
      </c>
      <c r="E45" s="20">
        <f>-E27/E23</f>
        <v>6.6573893924984945E-2</v>
      </c>
      <c r="F45" s="20">
        <f>-F27/F23</f>
        <v>6.2896515371147807E-2</v>
      </c>
      <c r="G45" s="100">
        <v>7.3999999999999996E-2</v>
      </c>
      <c r="H45" s="100">
        <v>6.9000000000000006E-2</v>
      </c>
      <c r="I45" s="100">
        <v>6.9000000000000006E-2</v>
      </c>
      <c r="J45" s="102">
        <f>I45</f>
        <v>6.9000000000000006E-2</v>
      </c>
      <c r="K45" s="102">
        <f>I45</f>
        <v>6.9000000000000006E-2</v>
      </c>
      <c r="L45" s="102">
        <f t="shared" si="23"/>
        <v>6.9000000000000006E-2</v>
      </c>
      <c r="M45" s="102">
        <f t="shared" si="23"/>
        <v>6.9000000000000006E-2</v>
      </c>
      <c r="N45" s="102">
        <f t="shared" si="23"/>
        <v>6.9000000000000006E-2</v>
      </c>
      <c r="Q45" s="21"/>
      <c r="R45" s="21"/>
      <c r="S45" s="21"/>
    </row>
    <row r="46" spans="3:19">
      <c r="C46" s="19" t="s">
        <v>0</v>
      </c>
      <c r="D46" s="20">
        <f>-(D33/D32)</f>
        <v>0.25557257381216192</v>
      </c>
      <c r="E46" s="20">
        <f>-(E33/E32)</f>
        <v>0.24556476150353415</v>
      </c>
      <c r="F46" s="20">
        <f>-(F33/F32)</f>
        <v>0.18342180705869443</v>
      </c>
      <c r="G46" s="100">
        <v>0.16700000000000001</v>
      </c>
      <c r="H46" s="100">
        <v>0.17</v>
      </c>
      <c r="I46" s="100">
        <v>0.16900000000000001</v>
      </c>
      <c r="J46" s="101">
        <f>I46</f>
        <v>0.16900000000000001</v>
      </c>
      <c r="K46" s="101">
        <f>I46</f>
        <v>0.16900000000000001</v>
      </c>
      <c r="L46" s="101">
        <f t="shared" si="23"/>
        <v>0.16900000000000001</v>
      </c>
      <c r="M46" s="101">
        <f t="shared" si="23"/>
        <v>0.16900000000000001</v>
      </c>
      <c r="N46" s="101">
        <f t="shared" si="23"/>
        <v>0.16900000000000001</v>
      </c>
      <c r="Q46" s="21"/>
      <c r="R46" s="21"/>
      <c r="S46" s="21"/>
    </row>
    <row r="47" spans="3:19">
      <c r="C47" s="19"/>
      <c r="G47" s="37"/>
    </row>
    <row r="48" spans="3:19">
      <c r="C48" s="93" t="s">
        <v>20</v>
      </c>
      <c r="D48" s="10"/>
      <c r="E48" s="10"/>
      <c r="F48" s="10"/>
      <c r="G48" s="6"/>
      <c r="H48" s="6"/>
      <c r="I48" s="6"/>
      <c r="J48" s="6"/>
      <c r="K48" s="6"/>
      <c r="L48" s="83"/>
      <c r="M48" s="83"/>
      <c r="N48" s="83"/>
    </row>
    <row r="49" spans="3:14">
      <c r="C49" s="25" t="str">
        <f>C20</f>
        <v xml:space="preserve">Fiscal year  </v>
      </c>
      <c r="D49" s="22"/>
      <c r="E49" s="22">
        <f t="shared" ref="E49:K50" si="24">E20</f>
        <v>2017</v>
      </c>
      <c r="F49" s="22">
        <f t="shared" si="24"/>
        <v>2018</v>
      </c>
      <c r="G49" s="23">
        <f t="shared" si="24"/>
        <v>2019</v>
      </c>
      <c r="H49" s="23">
        <f t="shared" si="24"/>
        <v>2020</v>
      </c>
      <c r="I49" s="23">
        <f t="shared" si="24"/>
        <v>2021</v>
      </c>
      <c r="J49" s="23">
        <f t="shared" si="24"/>
        <v>2022</v>
      </c>
      <c r="K49" s="23">
        <f t="shared" si="24"/>
        <v>2023</v>
      </c>
      <c r="L49" s="90">
        <f t="shared" ref="L49:N49" si="25">L20</f>
        <v>2024</v>
      </c>
      <c r="M49" s="90">
        <f t="shared" si="25"/>
        <v>2025</v>
      </c>
      <c r="N49" s="90">
        <f t="shared" si="25"/>
        <v>2026</v>
      </c>
    </row>
    <row r="50" spans="3:14">
      <c r="C50" s="6" t="str">
        <f>C21</f>
        <v>Fiscal year end date</v>
      </c>
      <c r="D50" s="24"/>
      <c r="E50" s="24">
        <f t="shared" si="24"/>
        <v>43008</v>
      </c>
      <c r="F50" s="24">
        <f t="shared" si="24"/>
        <v>43372</v>
      </c>
      <c r="G50" s="24">
        <f t="shared" si="24"/>
        <v>43738</v>
      </c>
      <c r="H50" s="24">
        <f t="shared" si="24"/>
        <v>44104</v>
      </c>
      <c r="I50" s="24">
        <f t="shared" si="24"/>
        <v>44469</v>
      </c>
      <c r="J50" s="24">
        <f t="shared" si="24"/>
        <v>44834</v>
      </c>
      <c r="K50" s="24">
        <f>K21</f>
        <v>45199</v>
      </c>
      <c r="L50" s="24">
        <f t="shared" ref="L50:N50" si="26">L21</f>
        <v>45565</v>
      </c>
      <c r="M50" s="24">
        <f t="shared" si="26"/>
        <v>45930</v>
      </c>
      <c r="N50" s="24">
        <f t="shared" si="26"/>
        <v>46295</v>
      </c>
    </row>
    <row r="51" spans="3:14">
      <c r="C51" t="s">
        <v>117</v>
      </c>
      <c r="D51" s="3"/>
      <c r="E51" s="3">
        <f>20289+53892+194714</f>
        <v>268895</v>
      </c>
      <c r="F51" s="3">
        <f>25913+40388+170799</f>
        <v>237100</v>
      </c>
      <c r="G51" s="103">
        <f ca="1">F51+G96</f>
        <v>202199.73246575586</v>
      </c>
      <c r="H51" s="103">
        <f t="shared" ref="H51:K51" ca="1" si="27">G51+H96</f>
        <v>176523.72487352614</v>
      </c>
      <c r="I51" s="103">
        <f ca="1">H51+I96</f>
        <v>156076.92943323214</v>
      </c>
      <c r="J51" s="103">
        <f t="shared" ca="1" si="27"/>
        <v>140446.38719768473</v>
      </c>
      <c r="K51" s="103">
        <f t="shared" ca="1" si="27"/>
        <v>129971.74231752878</v>
      </c>
      <c r="L51" s="103">
        <f t="shared" ref="L51" ca="1" si="28">K51+L96</f>
        <v>125149.66821586664</v>
      </c>
      <c r="M51" s="103">
        <f t="shared" ref="M51" ca="1" si="29">L51+M96</f>
        <v>126465.88960758396</v>
      </c>
      <c r="N51" s="103">
        <f t="shared" ref="N51" ca="1" si="30">M51+N96</f>
        <v>134441.37949759251</v>
      </c>
    </row>
    <row r="52" spans="3:14">
      <c r="C52" t="s">
        <v>53</v>
      </c>
      <c r="D52" s="3"/>
      <c r="E52" s="3">
        <v>17874</v>
      </c>
      <c r="F52" s="3">
        <v>23186</v>
      </c>
      <c r="G52" s="98">
        <f>F52*(1+G42)</f>
        <v>22258.559999999998</v>
      </c>
      <c r="H52" s="98">
        <f t="shared" ref="H52:K52" si="31">G52*(1+H42)</f>
        <v>23594.0736</v>
      </c>
      <c r="I52" s="98">
        <f>H52*(1+I42)</f>
        <v>25222.064678399998</v>
      </c>
      <c r="J52" s="98">
        <f t="shared" si="31"/>
        <v>26962.387141209598</v>
      </c>
      <c r="K52" s="98">
        <f t="shared" si="31"/>
        <v>28822.791853953058</v>
      </c>
      <c r="L52" s="98">
        <f t="shared" ref="L52" si="32">K52*(1+L42)</f>
        <v>30811.564491875819</v>
      </c>
      <c r="M52" s="98">
        <f t="shared" ref="M52" si="33">L52*(1+M42)</f>
        <v>32937.562441815251</v>
      </c>
      <c r="N52" s="98">
        <f t="shared" ref="N52" si="34">M52*(1+N42)</f>
        <v>35210.254250300502</v>
      </c>
    </row>
    <row r="53" spans="3:14">
      <c r="C53" t="s">
        <v>54</v>
      </c>
      <c r="D53" s="3"/>
      <c r="E53" s="3">
        <v>4855</v>
      </c>
      <c r="F53" s="3">
        <v>3956</v>
      </c>
      <c r="G53" s="98">
        <f>F53*(G24/F24)</f>
        <v>3831.2507254598299</v>
      </c>
      <c r="H53" s="98">
        <f t="shared" ref="H53:K53" si="35">G53*(H24/G24)</f>
        <v>4041.5383456643308</v>
      </c>
      <c r="I53" s="98">
        <f>H53*(I24/H24)</f>
        <v>4313.4248396710418</v>
      </c>
      <c r="J53" s="98">
        <f t="shared" si="35"/>
        <v>4611.0511536083432</v>
      </c>
      <c r="K53" s="98">
        <f t="shared" si="35"/>
        <v>4929.2136832073184</v>
      </c>
      <c r="L53" s="98">
        <f t="shared" ref="L53" si="36">K53*(L24/K24)</f>
        <v>5269.3294273486226</v>
      </c>
      <c r="M53" s="98">
        <f t="shared" ref="M53" si="37">L53*(M24/L24)</f>
        <v>5632.9131578356773</v>
      </c>
      <c r="N53" s="98">
        <f t="shared" ref="N53" si="38">M53*(N24/M24)</f>
        <v>6021.58416572634</v>
      </c>
    </row>
    <row r="54" spans="3:14" ht="15" customHeight="1">
      <c r="C54" t="s">
        <v>95</v>
      </c>
      <c r="D54" s="3"/>
      <c r="E54" s="3">
        <f>17799+13936</f>
        <v>31735</v>
      </c>
      <c r="F54" s="3">
        <f>25809+12087</f>
        <v>37896</v>
      </c>
      <c r="G54" s="98">
        <f>F54*(1+G42)</f>
        <v>36380.159999999996</v>
      </c>
      <c r="H54" s="98">
        <f t="shared" ref="H54:K54" si="39">G54*(1+H42)</f>
        <v>38562.969599999997</v>
      </c>
      <c r="I54" s="98">
        <f>H54*(1+I42)</f>
        <v>41223.814502399997</v>
      </c>
      <c r="J54" s="98">
        <f t="shared" si="39"/>
        <v>44068.257703065596</v>
      </c>
      <c r="K54" s="98">
        <f t="shared" si="39"/>
        <v>47108.967484577122</v>
      </c>
      <c r="L54" s="98">
        <f t="shared" ref="L54" si="40">K54*(1+L42)</f>
        <v>50359.486241012943</v>
      </c>
      <c r="M54" s="98">
        <f t="shared" ref="M54" si="41">L54*(1+M42)</f>
        <v>53834.29079164283</v>
      </c>
      <c r="N54" s="98">
        <f t="shared" ref="N54" si="42">M54*(1+N42)</f>
        <v>57548.856856266182</v>
      </c>
    </row>
    <row r="55" spans="3:14">
      <c r="C55" t="s">
        <v>21</v>
      </c>
      <c r="D55" s="3"/>
      <c r="E55" s="3">
        <v>33783</v>
      </c>
      <c r="F55" s="3">
        <v>41304</v>
      </c>
      <c r="G55" s="78">
        <f>G105</f>
        <v>45042.85982873883</v>
      </c>
      <c r="H55" s="78">
        <f t="shared" ref="H55:N55" si="43">H105</f>
        <v>48611.181883872909</v>
      </c>
      <c r="I55" s="78">
        <f t="shared" si="43"/>
        <v>51947.567835949827</v>
      </c>
      <c r="J55" s="78">
        <f t="shared" si="43"/>
        <v>55047.653466536474</v>
      </c>
      <c r="K55" s="78">
        <f t="shared" si="43"/>
        <v>57908.026034702925</v>
      </c>
      <c r="L55" s="78">
        <f t="shared" si="43"/>
        <v>60484.398602869376</v>
      </c>
      <c r="M55" s="78">
        <f t="shared" si="43"/>
        <v>62776.771171035827</v>
      </c>
      <c r="N55" s="78">
        <f t="shared" si="43"/>
        <v>64785.143739202278</v>
      </c>
    </row>
    <row r="56" spans="3:14">
      <c r="C56" t="s">
        <v>55</v>
      </c>
      <c r="D56" s="3"/>
      <c r="E56" s="3">
        <v>18177</v>
      </c>
      <c r="F56" s="3">
        <v>22283</v>
      </c>
      <c r="G56" s="98">
        <f>F56*(1+G42)</f>
        <v>21391.68</v>
      </c>
      <c r="H56" s="98">
        <f t="shared" ref="H56:K56" si="44">G56*(1+H42)</f>
        <v>22675.180800000002</v>
      </c>
      <c r="I56" s="98">
        <f>H56*(1+I42)</f>
        <v>24239.7682752</v>
      </c>
      <c r="J56" s="98">
        <f t="shared" si="44"/>
        <v>25912.3122861888</v>
      </c>
      <c r="K56" s="98">
        <f t="shared" si="44"/>
        <v>27700.261833935827</v>
      </c>
      <c r="L56" s="98">
        <f t="shared" ref="L56" si="45">K56*(1+L42)</f>
        <v>29611.579900477398</v>
      </c>
      <c r="M56" s="98">
        <f t="shared" ref="M56" si="46">L56*(1+M42)</f>
        <v>31654.778913610338</v>
      </c>
      <c r="N56" s="98">
        <f t="shared" ref="N56" si="47">M56*(1+N42)</f>
        <v>33838.958658649448</v>
      </c>
    </row>
    <row r="57" spans="3:14">
      <c r="C57" s="26" t="s">
        <v>22</v>
      </c>
      <c r="D57" s="16"/>
      <c r="E57" s="16">
        <f>SUM(E51:E56)</f>
        <v>375319</v>
      </c>
      <c r="F57" s="16">
        <f>SUM(F51:F56)</f>
        <v>365725</v>
      </c>
      <c r="G57" s="95">
        <f ca="1">SUM(G51:G56)</f>
        <v>331104.24301995453</v>
      </c>
      <c r="H57" s="95">
        <f t="shared" ref="H57:N57" ca="1" si="48">SUM(H51:H56)</f>
        <v>314008.66910306341</v>
      </c>
      <c r="I57" s="95">
        <f t="shared" ca="1" si="48"/>
        <v>303023.56956485298</v>
      </c>
      <c r="J57" s="95">
        <f t="shared" ca="1" si="48"/>
        <v>297048.04894829355</v>
      </c>
      <c r="K57" s="95">
        <f t="shared" ca="1" si="48"/>
        <v>296441.00320790504</v>
      </c>
      <c r="L57" s="95">
        <f t="shared" ca="1" si="48"/>
        <v>301686.02687945077</v>
      </c>
      <c r="M57" s="95">
        <f t="shared" ca="1" si="48"/>
        <v>313302.20608352387</v>
      </c>
      <c r="N57" s="95">
        <f t="shared" ca="1" si="48"/>
        <v>331846.17716773727</v>
      </c>
    </row>
    <row r="58" spans="3:14">
      <c r="C58" s="27"/>
      <c r="D58" s="17"/>
      <c r="E58" s="17"/>
      <c r="F58" s="17"/>
    </row>
    <row r="59" spans="3:14">
      <c r="C59" s="27" t="s">
        <v>56</v>
      </c>
      <c r="D59" s="3"/>
      <c r="E59" s="3">
        <v>44242</v>
      </c>
      <c r="F59" s="3">
        <v>55888</v>
      </c>
      <c r="G59" s="98">
        <f>F59*(G24/F24)</f>
        <v>54125.616922269706</v>
      </c>
      <c r="H59" s="98">
        <f t="shared" ref="H59:K59" si="49">G59*(H24/G24)</f>
        <v>57096.434545623888</v>
      </c>
      <c r="I59" s="98">
        <f>H59*(I24/H24)</f>
        <v>60937.48418592901</v>
      </c>
      <c r="J59" s="98">
        <f t="shared" si="49"/>
        <v>65142.170594758107</v>
      </c>
      <c r="K59" s="98">
        <f t="shared" si="49"/>
        <v>69636.980365796408</v>
      </c>
      <c r="L59" s="98">
        <f t="shared" ref="L59" si="50">K59*(L24/K24)</f>
        <v>74441.932011036362</v>
      </c>
      <c r="M59" s="98">
        <f t="shared" ref="M59" si="51">L59*(M24/L24)</f>
        <v>79578.425319797869</v>
      </c>
      <c r="N59" s="98">
        <f t="shared" ref="N59" si="52">M59*(N24/M24)</f>
        <v>85069.336666863936</v>
      </c>
    </row>
    <row r="60" spans="3:14">
      <c r="C60" s="27" t="s">
        <v>104</v>
      </c>
      <c r="D60" s="3"/>
      <c r="E60" s="3">
        <v>30551</v>
      </c>
      <c r="F60" s="3">
        <v>32687</v>
      </c>
      <c r="G60" s="98">
        <f>F60*(1+G42)</f>
        <v>31379.52</v>
      </c>
      <c r="H60" s="98">
        <f t="shared" ref="H60:K60" si="53">G60*(1+H42)</f>
        <v>33262.2912</v>
      </c>
      <c r="I60" s="98">
        <f>H60*(1+I42)</f>
        <v>35557.389292799999</v>
      </c>
      <c r="J60" s="98">
        <f t="shared" si="53"/>
        <v>38010.849154003197</v>
      </c>
      <c r="K60" s="98">
        <f t="shared" si="53"/>
        <v>40633.597745629413</v>
      </c>
      <c r="L60" s="98">
        <f t="shared" ref="L60" si="54">K60*(1+L42)</f>
        <v>43437.315990077841</v>
      </c>
      <c r="M60" s="98">
        <f t="shared" ref="M60" si="55">L60*(1+M42)</f>
        <v>46434.490793393212</v>
      </c>
      <c r="N60" s="98">
        <f t="shared" ref="N60" si="56">M60*(1+N42)</f>
        <v>49638.470658137339</v>
      </c>
    </row>
    <row r="61" spans="3:14">
      <c r="C61" s="27" t="s">
        <v>57</v>
      </c>
      <c r="D61" s="3"/>
      <c r="E61" s="3">
        <f>7548+2836</f>
        <v>10384</v>
      </c>
      <c r="F61" s="3">
        <f>7543+2797</f>
        <v>10340</v>
      </c>
      <c r="G61" s="98">
        <f>F61*(1+G42)</f>
        <v>9926.4</v>
      </c>
      <c r="H61" s="98">
        <f t="shared" ref="H61:K61" si="57">G61*(1+H42)</f>
        <v>10521.984</v>
      </c>
      <c r="I61" s="98">
        <f>H61*(1+I42)</f>
        <v>11248.000896</v>
      </c>
      <c r="J61" s="98">
        <f t="shared" si="57"/>
        <v>12024.112957824</v>
      </c>
      <c r="K61" s="98">
        <f t="shared" si="57"/>
        <v>12853.776751913854</v>
      </c>
      <c r="L61" s="98">
        <f t="shared" ref="L61" si="58">K61*(1+L42)</f>
        <v>13740.687347795909</v>
      </c>
      <c r="M61" s="98">
        <f t="shared" ref="M61" si="59">L61*(1+M42)</f>
        <v>14688.794774793825</v>
      </c>
      <c r="N61" s="98">
        <f t="shared" ref="N61" si="60">M61*(1+N42)</f>
        <v>15702.321614254599</v>
      </c>
    </row>
    <row r="62" spans="3:14">
      <c r="C62" s="27" t="s">
        <v>59</v>
      </c>
      <c r="D62" s="3"/>
      <c r="E62" s="3">
        <v>11977</v>
      </c>
      <c r="F62" s="3">
        <v>11964</v>
      </c>
      <c r="G62" s="17">
        <f ca="1">G146</f>
        <v>12000</v>
      </c>
      <c r="H62" s="17">
        <f t="shared" ref="H62:N62" ca="1" si="61">H146</f>
        <v>12000</v>
      </c>
      <c r="I62" s="17">
        <f t="shared" ca="1" si="61"/>
        <v>12000</v>
      </c>
      <c r="J62" s="17">
        <f t="shared" ca="1" si="61"/>
        <v>12000</v>
      </c>
      <c r="K62" s="17">
        <f t="shared" ca="1" si="61"/>
        <v>12000</v>
      </c>
      <c r="L62" s="17">
        <f t="shared" ca="1" si="61"/>
        <v>12000</v>
      </c>
      <c r="M62" s="17">
        <f t="shared" ca="1" si="61"/>
        <v>12000</v>
      </c>
      <c r="N62" s="17">
        <f t="shared" ca="1" si="61"/>
        <v>12000</v>
      </c>
    </row>
    <row r="63" spans="3:14">
      <c r="C63" s="27" t="s">
        <v>108</v>
      </c>
      <c r="D63" s="3"/>
      <c r="E63" s="3">
        <f>6496+97207</f>
        <v>103703</v>
      </c>
      <c r="F63" s="3">
        <f>8784+93735</f>
        <v>102519</v>
      </c>
      <c r="G63" s="98">
        <f>F63</f>
        <v>102519</v>
      </c>
      <c r="H63" s="98">
        <f t="shared" ref="H63:K63" si="62">G63</f>
        <v>102519</v>
      </c>
      <c r="I63" s="98">
        <f>H63</f>
        <v>102519</v>
      </c>
      <c r="J63" s="98">
        <f t="shared" si="62"/>
        <v>102519</v>
      </c>
      <c r="K63" s="98">
        <f t="shared" si="62"/>
        <v>102519</v>
      </c>
      <c r="L63" s="98">
        <f t="shared" ref="L63" si="63">K63</f>
        <v>102519</v>
      </c>
      <c r="M63" s="98">
        <f t="shared" ref="M63" si="64">L63</f>
        <v>102519</v>
      </c>
      <c r="N63" s="98">
        <f t="shared" ref="N63" si="65">M63</f>
        <v>102519</v>
      </c>
    </row>
    <row r="64" spans="3:14" ht="15.75" customHeight="1">
      <c r="C64" s="27" t="s">
        <v>58</v>
      </c>
      <c r="D64" s="3"/>
      <c r="E64" s="3">
        <v>40415</v>
      </c>
      <c r="F64" s="3">
        <v>45180</v>
      </c>
      <c r="G64" s="98">
        <f>F64*(1+G42)</f>
        <v>43372.799999999996</v>
      </c>
      <c r="H64" s="98">
        <f t="shared" ref="H64:K64" si="66">G64*(1+H42)</f>
        <v>45975.167999999998</v>
      </c>
      <c r="I64" s="98">
        <f>H64*(1+I42)</f>
        <v>49147.454591999995</v>
      </c>
      <c r="J64" s="98">
        <f t="shared" si="66"/>
        <v>52538.628958847992</v>
      </c>
      <c r="K64" s="98">
        <f t="shared" si="66"/>
        <v>56163.794357008504</v>
      </c>
      <c r="L64" s="98">
        <f t="shared" ref="L64" si="67">K64*(1+L42)</f>
        <v>60039.096167642092</v>
      </c>
      <c r="M64" s="98">
        <f t="shared" ref="M64" si="68">L64*(1+M42)</f>
        <v>64181.793803209395</v>
      </c>
      <c r="N64" s="98">
        <f t="shared" ref="N64" si="69">M64*(1+N42)</f>
        <v>68610.337575630838</v>
      </c>
    </row>
    <row r="65" spans="3:16">
      <c r="C65" s="26" t="s">
        <v>24</v>
      </c>
      <c r="D65" s="16"/>
      <c r="E65" s="16">
        <f>SUM(E59:E64)</f>
        <v>241272</v>
      </c>
      <c r="F65" s="16">
        <f>SUM(F59:F64)</f>
        <v>258578</v>
      </c>
      <c r="G65" s="104">
        <f ca="1">SUM(G59:G64)</f>
        <v>253323.33692226969</v>
      </c>
      <c r="H65" s="104">
        <f t="shared" ref="H65:K65" ca="1" si="70">SUM(H59:H64)</f>
        <v>261374.87774562387</v>
      </c>
      <c r="I65" s="104">
        <f t="shared" ca="1" si="70"/>
        <v>271409.32896672899</v>
      </c>
      <c r="J65" s="104">
        <f t="shared" ca="1" si="70"/>
        <v>282234.7616654333</v>
      </c>
      <c r="K65" s="104">
        <f t="shared" ca="1" si="70"/>
        <v>293807.14922034822</v>
      </c>
      <c r="L65" s="104">
        <f t="shared" ref="L65:N65" ca="1" si="71">SUM(L59:L64)</f>
        <v>306178.0315165522</v>
      </c>
      <c r="M65" s="104">
        <f t="shared" ca="1" si="71"/>
        <v>319402.50469119428</v>
      </c>
      <c r="N65" s="104">
        <f t="shared" ca="1" si="71"/>
        <v>333539.46651488671</v>
      </c>
    </row>
    <row r="66" spans="3:16">
      <c r="C66" s="26"/>
      <c r="D66" s="16"/>
      <c r="E66" s="16"/>
      <c r="F66" s="16"/>
    </row>
    <row r="67" spans="3:16">
      <c r="C67" s="27" t="s">
        <v>60</v>
      </c>
      <c r="D67" s="3"/>
      <c r="E67" s="3">
        <v>35867</v>
      </c>
      <c r="F67" s="3">
        <v>40201</v>
      </c>
      <c r="G67" s="103">
        <f>F67+G38</f>
        <v>45327.4</v>
      </c>
      <c r="H67" s="103">
        <f t="shared" ref="H67:K67" si="72">G67+H38</f>
        <v>50761.383999999998</v>
      </c>
      <c r="I67" s="103">
        <f>H67+I38</f>
        <v>56570.312895999996</v>
      </c>
      <c r="J67" s="103">
        <f t="shared" si="72"/>
        <v>62780.057885823997</v>
      </c>
      <c r="K67" s="103">
        <f t="shared" si="72"/>
        <v>69418.275279945854</v>
      </c>
      <c r="L67" s="103">
        <f t="shared" ref="L67" si="73">K67+L38</f>
        <v>76514.529674262114</v>
      </c>
      <c r="M67" s="103">
        <f t="shared" ref="M67" si="74">L67+M38</f>
        <v>84100.425621786198</v>
      </c>
      <c r="N67" s="103">
        <f t="shared" ref="N67" si="75">M67+N38</f>
        <v>92209.748389689441</v>
      </c>
    </row>
    <row r="68" spans="3:16" ht="15.75" customHeight="1">
      <c r="C68" s="27" t="s">
        <v>43</v>
      </c>
      <c r="D68" s="14"/>
      <c r="E68" s="3">
        <v>98330</v>
      </c>
      <c r="F68" s="3">
        <v>70400</v>
      </c>
      <c r="G68" s="17">
        <f ca="1">G125</f>
        <v>35907.506097684833</v>
      </c>
      <c r="H68" s="17">
        <f t="shared" ref="H68:N68" ca="1" si="76">H125</f>
        <v>5326.4073574395152</v>
      </c>
      <c r="I68" s="17">
        <f t="shared" ca="1" si="76"/>
        <v>-21502.07229787598</v>
      </c>
      <c r="J68" s="17">
        <f t="shared" ca="1" si="76"/>
        <v>-44512.770602963741</v>
      </c>
      <c r="K68" s="17">
        <f t="shared" ca="1" si="76"/>
        <v>-63330.421292388979</v>
      </c>
      <c r="L68" s="17">
        <f t="shared" ca="1" si="76"/>
        <v>-77552.534311363474</v>
      </c>
      <c r="M68" s="17">
        <f t="shared" ca="1" si="76"/>
        <v>-86746.724229456566</v>
      </c>
      <c r="N68" s="17">
        <f t="shared" ca="1" si="76"/>
        <v>-90449.037736838829</v>
      </c>
    </row>
    <row r="69" spans="3:16" ht="15.75" customHeight="1">
      <c r="C69" s="27" t="s">
        <v>107</v>
      </c>
      <c r="D69" s="3"/>
      <c r="E69" s="3">
        <v>-150</v>
      </c>
      <c r="F69" s="3">
        <v>-3454</v>
      </c>
      <c r="G69" s="103">
        <f>F69</f>
        <v>-3454</v>
      </c>
      <c r="H69" s="103">
        <f t="shared" ref="H69:K69" si="77">G69</f>
        <v>-3454</v>
      </c>
      <c r="I69" s="103">
        <f>H69</f>
        <v>-3454</v>
      </c>
      <c r="J69" s="103">
        <f t="shared" si="77"/>
        <v>-3454</v>
      </c>
      <c r="K69" s="103">
        <f t="shared" si="77"/>
        <v>-3454</v>
      </c>
      <c r="L69" s="103">
        <f t="shared" ref="L69" si="78">K69</f>
        <v>-3454</v>
      </c>
      <c r="M69" s="103">
        <f t="shared" ref="M69" si="79">L69</f>
        <v>-3454</v>
      </c>
      <c r="N69" s="103">
        <f t="shared" ref="N69" si="80">M69</f>
        <v>-3454</v>
      </c>
    </row>
    <row r="70" spans="3:16">
      <c r="C70" s="26" t="s">
        <v>25</v>
      </c>
      <c r="D70" s="28"/>
      <c r="E70" s="28">
        <f>SUM(E67:E69)</f>
        <v>134047</v>
      </c>
      <c r="F70" s="28">
        <f>SUM(F67:F69)</f>
        <v>107147</v>
      </c>
      <c r="G70" s="105">
        <f ca="1">SUM(G67:G69)</f>
        <v>77780.906097684841</v>
      </c>
      <c r="H70" s="105">
        <f t="shared" ref="H70:K70" ca="1" si="81">SUM(H67:H69)</f>
        <v>52633.791357439513</v>
      </c>
      <c r="I70" s="105">
        <f t="shared" ca="1" si="81"/>
        <v>31614.240598124015</v>
      </c>
      <c r="J70" s="105">
        <f t="shared" ca="1" si="81"/>
        <v>14813.287282860256</v>
      </c>
      <c r="K70" s="105">
        <f t="shared" ca="1" si="81"/>
        <v>2633.8539875568749</v>
      </c>
      <c r="L70" s="105">
        <f t="shared" ref="L70:N70" ca="1" si="82">SUM(L67:L69)</f>
        <v>-4492.0046371013595</v>
      </c>
      <c r="M70" s="105">
        <f t="shared" ca="1" si="82"/>
        <v>-6100.2986076703673</v>
      </c>
      <c r="N70" s="105">
        <f t="shared" ca="1" si="82"/>
        <v>-1693.289347149388</v>
      </c>
    </row>
    <row r="71" spans="3:16">
      <c r="D71" s="17"/>
      <c r="E71" s="17"/>
      <c r="F71" s="17"/>
    </row>
    <row r="72" spans="3:16">
      <c r="C72" s="11" t="s">
        <v>26</v>
      </c>
      <c r="D72" s="29"/>
      <c r="E72" s="29">
        <f t="shared" ref="E72:N72" si="83">ROUND(E57-E65-E70,3)</f>
        <v>0</v>
      </c>
      <c r="F72" s="29">
        <f t="shared" si="83"/>
        <v>0</v>
      </c>
      <c r="G72" s="29">
        <f t="shared" ca="1" si="83"/>
        <v>0</v>
      </c>
      <c r="H72" s="29">
        <f t="shared" ca="1" si="83"/>
        <v>0</v>
      </c>
      <c r="I72" s="29">
        <f t="shared" ca="1" si="83"/>
        <v>0</v>
      </c>
      <c r="J72" s="29">
        <f t="shared" ca="1" si="83"/>
        <v>0</v>
      </c>
      <c r="K72" s="29">
        <f t="shared" ca="1" si="83"/>
        <v>0</v>
      </c>
      <c r="L72" s="29">
        <f t="shared" ca="1" si="83"/>
        <v>0</v>
      </c>
      <c r="M72" s="29">
        <f t="shared" ca="1" si="83"/>
        <v>0</v>
      </c>
      <c r="N72" s="29">
        <f t="shared" ca="1" si="83"/>
        <v>0</v>
      </c>
    </row>
    <row r="73" spans="3:16">
      <c r="E73" s="17"/>
      <c r="F73" s="17"/>
      <c r="H73" s="17"/>
      <c r="I73" s="17"/>
      <c r="J73" s="17"/>
      <c r="K73" s="17"/>
      <c r="L73" s="17"/>
      <c r="M73" s="17"/>
      <c r="N73" s="17"/>
    </row>
    <row r="74" spans="3:16">
      <c r="C74" s="93" t="s">
        <v>32</v>
      </c>
      <c r="D74" s="10"/>
      <c r="E74" s="10"/>
      <c r="F74" s="10"/>
      <c r="G74" s="10"/>
      <c r="H74" s="10"/>
      <c r="I74" s="10"/>
      <c r="J74" s="10"/>
      <c r="K74" s="10"/>
      <c r="L74" s="84"/>
      <c r="M74" s="84"/>
      <c r="N74" s="84"/>
    </row>
    <row r="75" spans="3:16">
      <c r="C75" s="25" t="str">
        <f>C20</f>
        <v xml:space="preserve">Fiscal year  </v>
      </c>
      <c r="D75" s="22"/>
      <c r="E75" s="22"/>
      <c r="F75" s="22"/>
      <c r="G75" s="23">
        <f t="shared" ref="G75:K76" si="84">G20</f>
        <v>2019</v>
      </c>
      <c r="H75" s="23">
        <f t="shared" si="84"/>
        <v>2020</v>
      </c>
      <c r="I75" s="23">
        <f t="shared" si="84"/>
        <v>2021</v>
      </c>
      <c r="J75" s="23">
        <f t="shared" si="84"/>
        <v>2022</v>
      </c>
      <c r="K75" s="23">
        <f t="shared" si="84"/>
        <v>2023</v>
      </c>
      <c r="L75" s="90">
        <f t="shared" ref="L75:N75" si="85">L20</f>
        <v>2024</v>
      </c>
      <c r="M75" s="90">
        <f t="shared" si="85"/>
        <v>2025</v>
      </c>
      <c r="N75" s="90">
        <f t="shared" si="85"/>
        <v>2026</v>
      </c>
    </row>
    <row r="76" spans="3:16">
      <c r="C76" s="6" t="str">
        <f>C21</f>
        <v>Fiscal year end date</v>
      </c>
      <c r="D76" s="24"/>
      <c r="E76" s="24"/>
      <c r="F76" s="24"/>
      <c r="G76" s="24">
        <f t="shared" si="84"/>
        <v>43738</v>
      </c>
      <c r="H76" s="24">
        <f t="shared" si="84"/>
        <v>44104</v>
      </c>
      <c r="I76" s="24">
        <f t="shared" si="84"/>
        <v>44469</v>
      </c>
      <c r="J76" s="24">
        <f t="shared" si="84"/>
        <v>44834</v>
      </c>
      <c r="K76" s="24">
        <f t="shared" si="84"/>
        <v>45199</v>
      </c>
      <c r="L76" s="24">
        <f t="shared" ref="L76:N76" si="86">L21</f>
        <v>45565</v>
      </c>
      <c r="M76" s="24">
        <f t="shared" si="86"/>
        <v>45930</v>
      </c>
      <c r="N76" s="24">
        <f t="shared" si="86"/>
        <v>46295</v>
      </c>
    </row>
    <row r="78" spans="3:16">
      <c r="C78" t="s">
        <v>2</v>
      </c>
      <c r="D78" s="33"/>
      <c r="E78" s="33"/>
      <c r="F78" s="33"/>
      <c r="G78" s="94">
        <f ca="1">G34</f>
        <v>52298.506097684833</v>
      </c>
      <c r="H78" s="94">
        <f t="shared" ref="H78:K78" ca="1" si="87">H34</f>
        <v>56209.901259754675</v>
      </c>
      <c r="I78" s="94">
        <f t="shared" ca="1" si="87"/>
        <v>59962.520344684504</v>
      </c>
      <c r="J78" s="94">
        <f t="shared" ca="1" si="87"/>
        <v>63780.301694912239</v>
      </c>
      <c r="K78" s="94">
        <f t="shared" ca="1" si="87"/>
        <v>67973.349310574762</v>
      </c>
      <c r="L78" s="94">
        <f t="shared" ref="L78:N78" ca="1" si="88">L34</f>
        <v>72568.886981025498</v>
      </c>
      <c r="M78" s="94">
        <f t="shared" ca="1" si="88"/>
        <v>77596.810081906908</v>
      </c>
      <c r="N78" s="94">
        <f t="shared" ca="1" si="88"/>
        <v>83088.686492617737</v>
      </c>
      <c r="P78" s="15"/>
    </row>
    <row r="79" spans="3:16">
      <c r="C79" t="s">
        <v>33</v>
      </c>
      <c r="D79" s="33"/>
      <c r="E79" s="33"/>
      <c r="F79" s="33"/>
      <c r="G79" s="78">
        <f>G112</f>
        <v>11085.020171261172</v>
      </c>
      <c r="H79" s="78">
        <f t="shared" ref="H79:K79" si="89">H112</f>
        <v>11711.890744865921</v>
      </c>
      <c r="I79" s="78">
        <f t="shared" si="89"/>
        <v>12226.380531123083</v>
      </c>
      <c r="J79" s="78">
        <f t="shared" si="89"/>
        <v>12764.000739954156</v>
      </c>
      <c r="K79" s="78">
        <f t="shared" si="89"/>
        <v>13332.335761941662</v>
      </c>
      <c r="L79" s="78">
        <f t="shared" ref="L79:N79" si="90">L112</f>
        <v>13753.832636719122</v>
      </c>
      <c r="M79" s="78">
        <f t="shared" si="90"/>
        <v>14184.816795856226</v>
      </c>
      <c r="N79" s="78">
        <f t="shared" si="90"/>
        <v>14625.942861973794</v>
      </c>
    </row>
    <row r="80" spans="3:16">
      <c r="C80" t="s">
        <v>73</v>
      </c>
      <c r="D80" s="33"/>
      <c r="E80" s="33"/>
      <c r="F80" s="33"/>
      <c r="G80" s="98">
        <f>G38</f>
        <v>5126.3999999999996</v>
      </c>
      <c r="H80" s="98">
        <f t="shared" ref="H80:K80" si="91">H38</f>
        <v>5433.9839999999995</v>
      </c>
      <c r="I80" s="98">
        <f t="shared" si="91"/>
        <v>5808.9288959999994</v>
      </c>
      <c r="J80" s="98">
        <f t="shared" si="91"/>
        <v>6209.7449898239993</v>
      </c>
      <c r="K80" s="98">
        <f t="shared" si="91"/>
        <v>6638.2173941218552</v>
      </c>
      <c r="L80" s="98">
        <f t="shared" ref="L80:N80" si="92">L38</f>
        <v>7096.2543943162627</v>
      </c>
      <c r="M80" s="98">
        <f t="shared" si="92"/>
        <v>7585.8959475240845</v>
      </c>
      <c r="N80" s="98">
        <f t="shared" si="92"/>
        <v>8109.3227679032461</v>
      </c>
    </row>
    <row r="81" spans="3:16">
      <c r="C81" t="s">
        <v>64</v>
      </c>
      <c r="D81" s="17"/>
      <c r="E81" s="17"/>
      <c r="F81" s="17"/>
      <c r="G81" s="98">
        <f>SUM(F52:F54)-SUM(G52+G53+G54)</f>
        <v>2568.0292745401748</v>
      </c>
      <c r="H81" s="98">
        <f t="shared" ref="H81:K81" si="93">SUM(G52:G54)-SUM(H52+H53+H54)</f>
        <v>-3728.610820204507</v>
      </c>
      <c r="I81" s="98">
        <f>SUM(H52:H54)-SUM(I52+I53+I54)</f>
        <v>-4560.7224748067092</v>
      </c>
      <c r="J81" s="98">
        <f t="shared" si="93"/>
        <v>-4882.3919774124952</v>
      </c>
      <c r="K81" s="98">
        <f t="shared" si="93"/>
        <v>-5219.277023853967</v>
      </c>
      <c r="L81" s="98">
        <f t="shared" ref="L81" si="94">SUM(K52:K54)-SUM(L52+L53+L54)</f>
        <v>-5579.4071384998824</v>
      </c>
      <c r="M81" s="98">
        <f t="shared" ref="M81" si="95">SUM(L52:L54)-SUM(M52+M53+M54)</f>
        <v>-5964.3862310563709</v>
      </c>
      <c r="N81" s="98">
        <f t="shared" ref="N81" si="96">SUM(M52:M54)-SUM(N52+N53+N54)</f>
        <v>-6375.9288809992722</v>
      </c>
    </row>
    <row r="82" spans="3:16">
      <c r="C82" t="s">
        <v>65</v>
      </c>
      <c r="D82" s="17"/>
      <c r="E82" s="17"/>
      <c r="F82" s="17"/>
      <c r="G82" s="98">
        <f>SUM(G59:G61)-SUM(F59:F61)</f>
        <v>-3483.4630777302955</v>
      </c>
      <c r="H82" s="98">
        <f t="shared" ref="H82:K82" si="97">SUM(H59:H61)-SUM(G59:G61)</f>
        <v>5449.1728233541799</v>
      </c>
      <c r="I82" s="98">
        <f>SUM(I59:I61)-SUM(H59:H61)</f>
        <v>6862.1646291051293</v>
      </c>
      <c r="J82" s="98">
        <f t="shared" si="97"/>
        <v>7434.2583318562974</v>
      </c>
      <c r="K82" s="98">
        <f t="shared" si="97"/>
        <v>7947.2221567543747</v>
      </c>
      <c r="L82" s="98">
        <f t="shared" ref="L82" si="98">SUM(L59:L61)-SUM(K59:K61)</f>
        <v>8495.5804855704191</v>
      </c>
      <c r="M82" s="98">
        <f t="shared" ref="M82" si="99">SUM(M59:M61)-SUM(L59:L61)</f>
        <v>9081.7755390747916</v>
      </c>
      <c r="N82" s="98">
        <f t="shared" ref="N82" si="100">SUM(N59:N61)-SUM(M59:M61)</f>
        <v>9708.4180512709718</v>
      </c>
    </row>
    <row r="83" spans="3:16">
      <c r="C83" t="s">
        <v>55</v>
      </c>
      <c r="G83" s="17">
        <f>-G117</f>
        <v>-647.56000000000131</v>
      </c>
      <c r="H83" s="17">
        <f t="shared" ref="H83:K83" si="101">-H117</f>
        <v>-2914.7136000000028</v>
      </c>
      <c r="I83" s="17">
        <f t="shared" si="101"/>
        <v>-3308.3539583999991</v>
      </c>
      <c r="J83" s="17">
        <f t="shared" si="101"/>
        <v>-3536.6303815296014</v>
      </c>
      <c r="K83" s="17">
        <f t="shared" si="101"/>
        <v>-3780.6578778551411</v>
      </c>
      <c r="L83" s="17">
        <f t="shared" ref="L83:N83" si="102">-L117</f>
        <v>-4041.5232714271442</v>
      </c>
      <c r="M83" s="17">
        <f t="shared" si="102"/>
        <v>-4320.3883771556175</v>
      </c>
      <c r="N83" s="17">
        <f t="shared" si="102"/>
        <v>-4618.495175179356</v>
      </c>
    </row>
    <row r="84" spans="3:16">
      <c r="C84" t="s">
        <v>58</v>
      </c>
      <c r="G84" s="98">
        <f>G64-F64</f>
        <v>-1807.2000000000044</v>
      </c>
      <c r="H84" s="98">
        <f t="shared" ref="H84:K84" si="103">H64-G64</f>
        <v>2602.3680000000022</v>
      </c>
      <c r="I84" s="98">
        <f>I64-H64</f>
        <v>3172.2865919999967</v>
      </c>
      <c r="J84" s="98">
        <f t="shared" si="103"/>
        <v>3391.1743668479976</v>
      </c>
      <c r="K84" s="98">
        <f t="shared" si="103"/>
        <v>3625.1653981605123</v>
      </c>
      <c r="L84" s="98">
        <f t="shared" ref="L84" si="104">L64-K64</f>
        <v>3875.3018106335876</v>
      </c>
      <c r="M84" s="98">
        <f t="shared" ref="M84" si="105">M64-L64</f>
        <v>4142.6976355673032</v>
      </c>
      <c r="N84" s="98">
        <f t="shared" ref="N84" si="106">N64-M64</f>
        <v>4428.5437724214426</v>
      </c>
      <c r="P84" s="15"/>
    </row>
    <row r="85" spans="3:16">
      <c r="C85" s="15" t="s">
        <v>34</v>
      </c>
      <c r="G85" s="95">
        <f ca="1">SUM(G78:G84)</f>
        <v>65139.732465755871</v>
      </c>
      <c r="H85" s="95">
        <f t="shared" ref="H85:K85" ca="1" si="107">SUM(H78:H84)</f>
        <v>74763.99240777026</v>
      </c>
      <c r="I85" s="95">
        <f t="shared" ca="1" si="107"/>
        <v>80163.204559706006</v>
      </c>
      <c r="J85" s="95">
        <f t="shared" ca="1" si="107"/>
        <v>85160.457764452585</v>
      </c>
      <c r="K85" s="95">
        <f t="shared" ca="1" si="107"/>
        <v>90516.355119844055</v>
      </c>
      <c r="L85" s="95">
        <f t="shared" ref="L85:N85" ca="1" si="108">SUM(L78:L84)</f>
        <v>96168.925898337853</v>
      </c>
      <c r="M85" s="95">
        <f t="shared" ca="1" si="108"/>
        <v>102307.22139171732</v>
      </c>
      <c r="N85" s="95">
        <f t="shared" ca="1" si="108"/>
        <v>108966.48989000855</v>
      </c>
    </row>
    <row r="87" spans="3:16">
      <c r="C87" t="s">
        <v>35</v>
      </c>
      <c r="G87" s="17">
        <f>-G103</f>
        <v>-13285</v>
      </c>
      <c r="H87" s="17">
        <f t="shared" ref="H87:K87" si="109">-H103</f>
        <v>-13649</v>
      </c>
      <c r="I87" s="17">
        <f t="shared" si="109"/>
        <v>-13819</v>
      </c>
      <c r="J87" s="17">
        <f t="shared" si="109"/>
        <v>-14000</v>
      </c>
      <c r="K87" s="17">
        <f t="shared" si="109"/>
        <v>-14200</v>
      </c>
      <c r="L87" s="17">
        <f t="shared" ref="L87:N87" si="110">-L103</f>
        <v>-14200</v>
      </c>
      <c r="M87" s="17">
        <f t="shared" si="110"/>
        <v>-14200</v>
      </c>
      <c r="N87" s="17">
        <f t="shared" si="110"/>
        <v>-14200</v>
      </c>
    </row>
    <row r="88" spans="3:16">
      <c r="C88" s="15" t="s">
        <v>36</v>
      </c>
      <c r="G88" s="106">
        <f>SUM(G87)</f>
        <v>-13285</v>
      </c>
      <c r="H88" s="106">
        <f t="shared" ref="H88:K88" si="111">SUM(H87)</f>
        <v>-13649</v>
      </c>
      <c r="I88" s="106">
        <f t="shared" si="111"/>
        <v>-13819</v>
      </c>
      <c r="J88" s="106">
        <f t="shared" si="111"/>
        <v>-14000</v>
      </c>
      <c r="K88" s="106">
        <f t="shared" si="111"/>
        <v>-14200</v>
      </c>
      <c r="L88" s="106">
        <f t="shared" ref="L88:N88" si="112">SUM(L87)</f>
        <v>-14200</v>
      </c>
      <c r="M88" s="106">
        <f t="shared" si="112"/>
        <v>-14200</v>
      </c>
      <c r="N88" s="106">
        <f t="shared" si="112"/>
        <v>-14200</v>
      </c>
    </row>
    <row r="89" spans="3:16">
      <c r="G89" s="17"/>
      <c r="H89" s="17"/>
      <c r="I89" s="17">
        <f ca="1">I146-H146</f>
        <v>0</v>
      </c>
      <c r="J89" s="17">
        <f t="shared" ref="J89:K89" ca="1" si="113">J146-I146</f>
        <v>0</v>
      </c>
      <c r="K89" s="17">
        <f t="shared" ca="1" si="113"/>
        <v>0</v>
      </c>
      <c r="L89" s="17"/>
      <c r="M89" s="17"/>
      <c r="N89" s="17"/>
    </row>
    <row r="90" spans="3:16">
      <c r="C90" t="s">
        <v>66</v>
      </c>
      <c r="G90" s="107">
        <f>G63-F63</f>
        <v>0</v>
      </c>
      <c r="H90" s="107">
        <f t="shared" ref="H90:K90" si="114">H63-G63</f>
        <v>0</v>
      </c>
      <c r="I90" s="107">
        <f>I63-H63</f>
        <v>0</v>
      </c>
      <c r="J90" s="107">
        <f t="shared" si="114"/>
        <v>0</v>
      </c>
      <c r="K90" s="107">
        <f t="shared" si="114"/>
        <v>0</v>
      </c>
      <c r="L90" s="107">
        <f t="shared" ref="L90" si="115">L63-K63</f>
        <v>0</v>
      </c>
      <c r="M90" s="107">
        <f t="shared" ref="M90" si="116">M63-L63</f>
        <v>0</v>
      </c>
      <c r="N90" s="107">
        <f t="shared" ref="N90" si="117">N63-M63</f>
        <v>0</v>
      </c>
    </row>
    <row r="91" spans="3:16">
      <c r="C91" t="s">
        <v>23</v>
      </c>
      <c r="G91" s="17">
        <f ca="1">G146-F146</f>
        <v>36</v>
      </c>
      <c r="H91" s="17">
        <f t="shared" ref="H91:K91" ca="1" si="118">H146-G146</f>
        <v>0</v>
      </c>
      <c r="I91" s="17">
        <f ca="1">I146-H146</f>
        <v>0</v>
      </c>
      <c r="J91" s="17">
        <f t="shared" ca="1" si="118"/>
        <v>0</v>
      </c>
      <c r="K91" s="17">
        <f t="shared" ca="1" si="118"/>
        <v>0</v>
      </c>
      <c r="L91" s="17">
        <f t="shared" ref="L91" ca="1" si="119">L146-K146</f>
        <v>0</v>
      </c>
      <c r="M91" s="17">
        <f t="shared" ref="M91" ca="1" si="120">M146-L146</f>
        <v>0</v>
      </c>
      <c r="N91" s="17">
        <f t="shared" ref="N91" ca="1" si="121">N146-M146</f>
        <v>0</v>
      </c>
    </row>
    <row r="92" spans="3:16">
      <c r="C92" t="s">
        <v>69</v>
      </c>
      <c r="G92" s="17">
        <f>G124</f>
        <v>-73056</v>
      </c>
      <c r="H92" s="17">
        <f t="shared" ref="H92:K92" si="122">H124</f>
        <v>-73056</v>
      </c>
      <c r="I92" s="17">
        <f t="shared" si="122"/>
        <v>-73056</v>
      </c>
      <c r="J92" s="17">
        <f t="shared" si="122"/>
        <v>-73056</v>
      </c>
      <c r="K92" s="17">
        <f t="shared" si="122"/>
        <v>-73056</v>
      </c>
      <c r="L92" s="17">
        <f t="shared" ref="L92:N92" si="123">L124</f>
        <v>-73056</v>
      </c>
      <c r="M92" s="17">
        <f t="shared" si="123"/>
        <v>-73056</v>
      </c>
      <c r="N92" s="17">
        <f t="shared" si="123"/>
        <v>-73056</v>
      </c>
    </row>
    <row r="93" spans="3:16">
      <c r="C93" t="s">
        <v>70</v>
      </c>
      <c r="G93" s="17">
        <f>G123</f>
        <v>-13735</v>
      </c>
      <c r="H93" s="17">
        <f t="shared" ref="H93:K93" si="124">H123</f>
        <v>-13735</v>
      </c>
      <c r="I93" s="17">
        <f t="shared" si="124"/>
        <v>-13735</v>
      </c>
      <c r="J93" s="17">
        <f t="shared" si="124"/>
        <v>-13735</v>
      </c>
      <c r="K93" s="17">
        <f t="shared" si="124"/>
        <v>-13735</v>
      </c>
      <c r="L93" s="17">
        <f t="shared" ref="L93:N93" si="125">L123</f>
        <v>-13735</v>
      </c>
      <c r="M93" s="17">
        <f t="shared" si="125"/>
        <v>-13735</v>
      </c>
      <c r="N93" s="17">
        <f t="shared" si="125"/>
        <v>-13735</v>
      </c>
    </row>
    <row r="94" spans="3:16">
      <c r="C94" s="15" t="s">
        <v>37</v>
      </c>
      <c r="G94" s="104">
        <f ca="1">SUM(G90:G93)</f>
        <v>-86755</v>
      </c>
      <c r="H94" s="104">
        <f t="shared" ref="H94:K94" ca="1" si="126">SUM(H90:H93)</f>
        <v>-86791</v>
      </c>
      <c r="I94" s="104">
        <f t="shared" ca="1" si="126"/>
        <v>-86791</v>
      </c>
      <c r="J94" s="104">
        <f t="shared" ca="1" si="126"/>
        <v>-86791</v>
      </c>
      <c r="K94" s="104">
        <f t="shared" ca="1" si="126"/>
        <v>-86791</v>
      </c>
      <c r="L94" s="104">
        <f t="shared" ref="L94:N94" ca="1" si="127">SUM(L90:L93)</f>
        <v>-86791</v>
      </c>
      <c r="M94" s="104">
        <f t="shared" ca="1" si="127"/>
        <v>-86791</v>
      </c>
      <c r="N94" s="104">
        <f t="shared" ca="1" si="127"/>
        <v>-86791</v>
      </c>
    </row>
    <row r="96" spans="3:16">
      <c r="C96" s="15" t="s">
        <v>38</v>
      </c>
      <c r="G96" s="104">
        <f ca="1">G94+G88+G85</f>
        <v>-34900.267534244129</v>
      </c>
      <c r="H96" s="104">
        <f t="shared" ref="H96:K96" ca="1" si="128">H94+H88+H85</f>
        <v>-25676.00759222974</v>
      </c>
      <c r="I96" s="104">
        <f t="shared" ca="1" si="128"/>
        <v>-20446.795440293994</v>
      </c>
      <c r="J96" s="104">
        <f t="shared" ca="1" si="128"/>
        <v>-15630.542235547415</v>
      </c>
      <c r="K96" s="104">
        <f t="shared" ca="1" si="128"/>
        <v>-10474.644880155945</v>
      </c>
      <c r="L96" s="104">
        <f t="shared" ref="L96:N96" ca="1" si="129">L94+L88+L85</f>
        <v>-4822.0741016621469</v>
      </c>
      <c r="M96" s="104">
        <f t="shared" ca="1" si="129"/>
        <v>1316.2213917173212</v>
      </c>
      <c r="N96" s="104">
        <f t="shared" ca="1" si="129"/>
        <v>7975.4898900085536</v>
      </c>
    </row>
    <row r="98" spans="3:16">
      <c r="C98" s="5" t="s">
        <v>29</v>
      </c>
      <c r="D98" s="6"/>
      <c r="E98" s="6"/>
      <c r="F98" s="6"/>
      <c r="G98" s="6"/>
      <c r="H98" s="6"/>
      <c r="I98" s="6"/>
      <c r="J98" s="6"/>
      <c r="K98" s="6"/>
      <c r="L98" s="83"/>
      <c r="M98" s="83"/>
      <c r="N98" s="83"/>
    </row>
    <row r="99" spans="3:16">
      <c r="C99" s="25" t="str">
        <f t="shared" ref="C99:K100" si="130">C20</f>
        <v xml:space="preserve">Fiscal year  </v>
      </c>
      <c r="D99" s="22">
        <f t="shared" si="130"/>
        <v>2016</v>
      </c>
      <c r="E99" s="22">
        <f t="shared" si="130"/>
        <v>2017</v>
      </c>
      <c r="F99" s="22">
        <f t="shared" si="130"/>
        <v>2018</v>
      </c>
      <c r="G99" s="23">
        <f t="shared" si="130"/>
        <v>2019</v>
      </c>
      <c r="H99" s="23">
        <f t="shared" si="130"/>
        <v>2020</v>
      </c>
      <c r="I99" s="23">
        <f t="shared" si="130"/>
        <v>2021</v>
      </c>
      <c r="J99" s="23">
        <f t="shared" si="130"/>
        <v>2022</v>
      </c>
      <c r="K99" s="23">
        <f t="shared" si="130"/>
        <v>2023</v>
      </c>
      <c r="L99" s="90">
        <f t="shared" ref="L99:N99" si="131">L20</f>
        <v>2024</v>
      </c>
      <c r="M99" s="90">
        <f t="shared" si="131"/>
        <v>2025</v>
      </c>
      <c r="N99" s="90">
        <f t="shared" si="131"/>
        <v>2026</v>
      </c>
    </row>
    <row r="100" spans="3:16">
      <c r="C100" s="6" t="str">
        <f t="shared" si="130"/>
        <v>Fiscal year end date</v>
      </c>
      <c r="D100" s="24">
        <f t="shared" si="130"/>
        <v>42643</v>
      </c>
      <c r="E100" s="24">
        <f t="shared" si="130"/>
        <v>43008</v>
      </c>
      <c r="F100" s="24">
        <f t="shared" si="130"/>
        <v>43372</v>
      </c>
      <c r="G100" s="24">
        <f t="shared" si="130"/>
        <v>43738</v>
      </c>
      <c r="H100" s="24">
        <f t="shared" si="130"/>
        <v>44104</v>
      </c>
      <c r="I100" s="24">
        <f t="shared" si="130"/>
        <v>44469</v>
      </c>
      <c r="J100" s="24">
        <f t="shared" si="130"/>
        <v>44834</v>
      </c>
      <c r="K100" s="24">
        <f t="shared" si="130"/>
        <v>45199</v>
      </c>
      <c r="L100" s="24">
        <f t="shared" ref="L100:N100" si="132">L21</f>
        <v>45565</v>
      </c>
      <c r="M100" s="24">
        <f t="shared" si="132"/>
        <v>45930</v>
      </c>
      <c r="N100" s="24">
        <f t="shared" si="132"/>
        <v>46295</v>
      </c>
    </row>
    <row r="101" spans="3:16">
      <c r="C101" s="15"/>
      <c r="G101" s="56" t="s">
        <v>103</v>
      </c>
      <c r="H101" s="56"/>
      <c r="I101" s="56"/>
      <c r="J101" s="56"/>
      <c r="K101" s="56"/>
      <c r="L101" s="85"/>
      <c r="M101" s="85"/>
      <c r="N101" s="85"/>
    </row>
    <row r="102" spans="3:16">
      <c r="C102" s="27" t="s">
        <v>27</v>
      </c>
      <c r="G102" s="103">
        <f>F105</f>
        <v>41304</v>
      </c>
      <c r="H102" s="103">
        <f t="shared" ref="H102:K102" si="133">G105</f>
        <v>45042.85982873883</v>
      </c>
      <c r="I102" s="103">
        <f>H105</f>
        <v>48611.181883872909</v>
      </c>
      <c r="J102" s="103">
        <f t="shared" si="133"/>
        <v>51947.567835949827</v>
      </c>
      <c r="K102" s="103">
        <f t="shared" si="133"/>
        <v>55047.653466536474</v>
      </c>
      <c r="L102" s="103">
        <f t="shared" ref="L102" si="134">K105</f>
        <v>57908.026034702925</v>
      </c>
      <c r="M102" s="103">
        <f t="shared" ref="M102" si="135">L105</f>
        <v>60484.398602869376</v>
      </c>
      <c r="N102" s="103">
        <f t="shared" ref="N102" si="136">M105</f>
        <v>62776.771171035827</v>
      </c>
    </row>
    <row r="103" spans="3:16">
      <c r="C103" s="30" t="s">
        <v>30</v>
      </c>
      <c r="D103" s="3">
        <v>12734</v>
      </c>
      <c r="E103" s="3">
        <v>12451</v>
      </c>
      <c r="F103" s="3">
        <v>13313</v>
      </c>
      <c r="G103" s="3">
        <v>13285</v>
      </c>
      <c r="H103" s="3">
        <v>13649</v>
      </c>
      <c r="I103" s="3">
        <v>13819</v>
      </c>
      <c r="J103" s="3">
        <v>14000</v>
      </c>
      <c r="K103" s="3">
        <v>14200</v>
      </c>
      <c r="L103" s="3">
        <v>14200</v>
      </c>
      <c r="M103" s="3">
        <v>14200</v>
      </c>
      <c r="N103" s="3">
        <v>14200</v>
      </c>
    </row>
    <row r="104" spans="3:16">
      <c r="C104" s="54" t="s">
        <v>31</v>
      </c>
      <c r="D104" s="51">
        <v>-8300</v>
      </c>
      <c r="E104" s="51">
        <v>-8200</v>
      </c>
      <c r="F104" s="51">
        <v>-9300</v>
      </c>
      <c r="G104" s="108">
        <f>-G103*G107</f>
        <v>-9546.1401712611732</v>
      </c>
      <c r="H104" s="108">
        <f t="shared" ref="H104:K104" si="137">-H103*H107</f>
        <v>-10080.677944865922</v>
      </c>
      <c r="I104" s="108">
        <f t="shared" si="137"/>
        <v>-10482.614047923083</v>
      </c>
      <c r="J104" s="108">
        <f t="shared" si="137"/>
        <v>-10899.914369413356</v>
      </c>
      <c r="K104" s="108">
        <f t="shared" si="137"/>
        <v>-11339.627431833547</v>
      </c>
      <c r="L104" s="108">
        <f t="shared" ref="L104:N104" si="138">-L103*L107</f>
        <v>-11623.627431833547</v>
      </c>
      <c r="M104" s="108">
        <f t="shared" si="138"/>
        <v>-11907.627431833547</v>
      </c>
      <c r="N104" s="108">
        <f t="shared" si="138"/>
        <v>-12191.627431833549</v>
      </c>
    </row>
    <row r="105" spans="3:16">
      <c r="C105" s="34" t="s">
        <v>28</v>
      </c>
      <c r="D105" s="28"/>
      <c r="E105" s="28">
        <f>E55</f>
        <v>33783</v>
      </c>
      <c r="F105" s="28">
        <f>F55</f>
        <v>41304</v>
      </c>
      <c r="G105" s="105">
        <f>SUM(G102:G104)</f>
        <v>45042.85982873883</v>
      </c>
      <c r="H105" s="105">
        <f t="shared" ref="H105:K105" si="139">SUM(H102:H104)</f>
        <v>48611.181883872909</v>
      </c>
      <c r="I105" s="105">
        <f t="shared" si="139"/>
        <v>51947.567835949827</v>
      </c>
      <c r="J105" s="105">
        <f t="shared" si="139"/>
        <v>55047.653466536474</v>
      </c>
      <c r="K105" s="105">
        <f t="shared" si="139"/>
        <v>57908.026034702925</v>
      </c>
      <c r="L105" s="105">
        <f t="shared" ref="L105:N105" si="140">SUM(L102:L104)</f>
        <v>60484.398602869376</v>
      </c>
      <c r="M105" s="105">
        <f t="shared" si="140"/>
        <v>62776.771171035827</v>
      </c>
      <c r="N105" s="105">
        <f t="shared" si="140"/>
        <v>64785.143739202278</v>
      </c>
    </row>
    <row r="106" spans="3:16">
      <c r="C106" s="27"/>
      <c r="P106" s="18" t="s">
        <v>47</v>
      </c>
    </row>
    <row r="107" spans="3:16">
      <c r="C107" s="27" t="s">
        <v>109</v>
      </c>
      <c r="D107" s="4">
        <f>-(D104/D103)</f>
        <v>0.65179833516569818</v>
      </c>
      <c r="E107" s="4">
        <f>-(E104/E103)</f>
        <v>0.6585816400289134</v>
      </c>
      <c r="F107" s="4">
        <f>-(F104/F103)</f>
        <v>0.69856531210095396</v>
      </c>
      <c r="G107" s="109">
        <f>F107+$P$107</f>
        <v>0.71856531210095398</v>
      </c>
      <c r="H107" s="109">
        <f>G107+$P$107</f>
        <v>0.738565312100954</v>
      </c>
      <c r="I107" s="109">
        <f>H107+$P$107</f>
        <v>0.75856531210095401</v>
      </c>
      <c r="J107" s="109">
        <f>I107+$P$107</f>
        <v>0.77856531210095403</v>
      </c>
      <c r="K107" s="109">
        <f>J107+$P$107</f>
        <v>0.79856531210095405</v>
      </c>
      <c r="L107" s="109">
        <f t="shared" ref="L107:N107" si="141">K107+$P$107</f>
        <v>0.81856531210095407</v>
      </c>
      <c r="M107" s="109">
        <f t="shared" si="141"/>
        <v>0.83856531210095409</v>
      </c>
      <c r="N107" s="109">
        <f t="shared" si="141"/>
        <v>0.8585653121009541</v>
      </c>
      <c r="P107" s="119">
        <v>0.02</v>
      </c>
    </row>
    <row r="108" spans="3:16">
      <c r="C108" s="27"/>
      <c r="D108" s="4"/>
      <c r="E108" s="4"/>
      <c r="F108" s="4"/>
      <c r="G108" s="20"/>
      <c r="H108" s="20"/>
      <c r="I108" s="20"/>
      <c r="J108" s="20"/>
      <c r="K108" s="20"/>
      <c r="L108" s="20"/>
      <c r="M108" s="20"/>
      <c r="N108" s="20"/>
    </row>
    <row r="109" spans="3:16">
      <c r="C109" s="70" t="s">
        <v>114</v>
      </c>
      <c r="D109" s="31"/>
      <c r="E109" s="31"/>
      <c r="F109" s="31"/>
      <c r="G109" s="71"/>
      <c r="H109" s="71"/>
      <c r="I109" s="71"/>
      <c r="J109" s="71"/>
      <c r="K109" s="71"/>
      <c r="L109" s="86"/>
      <c r="M109" s="86"/>
      <c r="N109" s="86"/>
    </row>
    <row r="110" spans="3:16">
      <c r="C110" s="27" t="s">
        <v>123</v>
      </c>
      <c r="D110" s="17">
        <f>D112+D104</f>
        <v>2205</v>
      </c>
      <c r="E110" s="17">
        <f>E112+E104</f>
        <v>1957</v>
      </c>
      <c r="F110" s="17">
        <f>F112+F104</f>
        <v>1603</v>
      </c>
      <c r="G110" s="110">
        <f>G111*G23</f>
        <v>1538.8799999999999</v>
      </c>
      <c r="H110" s="110">
        <f t="shared" ref="H110:N110" si="142">H111*H23</f>
        <v>1631.2128</v>
      </c>
      <c r="I110" s="110">
        <f t="shared" si="142"/>
        <v>1743.7664832</v>
      </c>
      <c r="J110" s="110">
        <f t="shared" si="142"/>
        <v>1864.0863705407999</v>
      </c>
      <c r="K110" s="110">
        <f t="shared" si="142"/>
        <v>1992.708330108115</v>
      </c>
      <c r="L110" s="111">
        <f t="shared" si="142"/>
        <v>2130.2052048855749</v>
      </c>
      <c r="M110" s="111">
        <f t="shared" si="142"/>
        <v>2277.1893640226795</v>
      </c>
      <c r="N110" s="111">
        <f t="shared" si="142"/>
        <v>2434.3154301402442</v>
      </c>
    </row>
    <row r="111" spans="3:16">
      <c r="C111" s="19" t="s">
        <v>124</v>
      </c>
      <c r="D111" s="49">
        <f>D110/D23</f>
        <v>1.0225423044996499E-2</v>
      </c>
      <c r="E111" s="49">
        <f>E110/E23</f>
        <v>8.537128000209393E-3</v>
      </c>
      <c r="F111" s="49">
        <f>F110/F23</f>
        <v>6.0355051864681188E-3</v>
      </c>
      <c r="G111" s="109">
        <f>F111</f>
        <v>6.0355051864681188E-3</v>
      </c>
      <c r="H111" s="109">
        <f t="shared" ref="H111:K111" si="143">G111</f>
        <v>6.0355051864681188E-3</v>
      </c>
      <c r="I111" s="109">
        <f>H111</f>
        <v>6.0355051864681188E-3</v>
      </c>
      <c r="J111" s="109">
        <f t="shared" si="143"/>
        <v>6.0355051864681188E-3</v>
      </c>
      <c r="K111" s="109">
        <f t="shared" si="143"/>
        <v>6.0355051864681188E-3</v>
      </c>
      <c r="L111" s="109">
        <f t="shared" ref="L111" si="144">K111</f>
        <v>6.0355051864681188E-3</v>
      </c>
      <c r="M111" s="109">
        <f t="shared" ref="M111" si="145">L111</f>
        <v>6.0355051864681188E-3</v>
      </c>
      <c r="N111" s="109">
        <f t="shared" ref="N111" si="146">M111</f>
        <v>6.0355051864681188E-3</v>
      </c>
    </row>
    <row r="112" spans="3:16">
      <c r="C112" s="26" t="s">
        <v>97</v>
      </c>
      <c r="D112" s="28">
        <f>D36</f>
        <v>10505</v>
      </c>
      <c r="E112" s="28">
        <f>E36</f>
        <v>10157</v>
      </c>
      <c r="F112" s="28">
        <f>F36</f>
        <v>10903</v>
      </c>
      <c r="G112" s="112">
        <f>G110+-G104</f>
        <v>11085.020171261172</v>
      </c>
      <c r="H112" s="112">
        <f t="shared" ref="H112:K112" si="147">H110+-H104</f>
        <v>11711.890744865921</v>
      </c>
      <c r="I112" s="112">
        <f t="shared" si="147"/>
        <v>12226.380531123083</v>
      </c>
      <c r="J112" s="112">
        <f t="shared" si="147"/>
        <v>12764.000739954156</v>
      </c>
      <c r="K112" s="112">
        <f t="shared" si="147"/>
        <v>13332.335761941662</v>
      </c>
      <c r="L112" s="112">
        <f t="shared" ref="L112:N112" si="148">L110+-L104</f>
        <v>13753.832636719122</v>
      </c>
      <c r="M112" s="112">
        <f t="shared" si="148"/>
        <v>14184.816795856226</v>
      </c>
      <c r="N112" s="112">
        <f t="shared" si="148"/>
        <v>14625.942861973794</v>
      </c>
    </row>
    <row r="113" spans="3:14">
      <c r="H113" s="17"/>
      <c r="I113" s="17"/>
      <c r="J113" s="17"/>
      <c r="K113" s="17"/>
      <c r="L113" s="17"/>
      <c r="M113" s="17"/>
      <c r="N113" s="17"/>
    </row>
    <row r="114" spans="3:14">
      <c r="C114" s="40" t="s">
        <v>113</v>
      </c>
      <c r="D114" s="6"/>
      <c r="E114" s="6"/>
      <c r="F114" s="6"/>
      <c r="H114" s="17"/>
      <c r="I114" s="17"/>
      <c r="J114" s="17"/>
      <c r="K114" s="17"/>
      <c r="L114" s="17"/>
      <c r="M114" s="17"/>
      <c r="N114" s="17"/>
    </row>
    <row r="115" spans="3:14" ht="15" customHeight="1">
      <c r="C115" s="27" t="s">
        <v>27</v>
      </c>
      <c r="D115" s="17"/>
      <c r="G115" s="113">
        <f>F118</f>
        <v>22283</v>
      </c>
      <c r="H115" s="113">
        <f>G118</f>
        <v>21391.68</v>
      </c>
      <c r="I115" s="113">
        <f>H118</f>
        <v>22675.180800000002</v>
      </c>
      <c r="J115" s="113">
        <f t="shared" ref="J115:K115" si="149">I118</f>
        <v>24239.7682752</v>
      </c>
      <c r="K115" s="113">
        <f t="shared" si="149"/>
        <v>25912.3122861888</v>
      </c>
      <c r="L115" s="113">
        <f t="shared" ref="L115" si="150">K118</f>
        <v>27700.261833935827</v>
      </c>
      <c r="M115" s="113">
        <f t="shared" ref="M115" si="151">L118</f>
        <v>29611.579900477398</v>
      </c>
      <c r="N115" s="113">
        <f t="shared" ref="N115" si="152">M118</f>
        <v>31654.778913610338</v>
      </c>
    </row>
    <row r="116" spans="3:14">
      <c r="C116" s="19" t="s">
        <v>128</v>
      </c>
      <c r="G116" s="17">
        <f>-(G110)</f>
        <v>-1538.8799999999999</v>
      </c>
      <c r="H116" s="17">
        <f>-(H110)</f>
        <v>-1631.2128</v>
      </c>
      <c r="I116" s="17">
        <f>-(I110)</f>
        <v>-1743.7664832</v>
      </c>
      <c r="J116" s="17">
        <f>-(J110)</f>
        <v>-1864.0863705407999</v>
      </c>
      <c r="K116" s="17">
        <f>-(K110)</f>
        <v>-1992.708330108115</v>
      </c>
      <c r="L116" s="17">
        <f t="shared" ref="L116:N116" si="153">-(L110)</f>
        <v>-2130.2052048855749</v>
      </c>
      <c r="M116" s="17">
        <f t="shared" si="153"/>
        <v>-2277.1893640226795</v>
      </c>
      <c r="N116" s="17">
        <f t="shared" si="153"/>
        <v>-2434.3154301402442</v>
      </c>
    </row>
    <row r="117" spans="3:14" ht="15" customHeight="1">
      <c r="C117" s="55" t="s">
        <v>110</v>
      </c>
      <c r="D117" s="53"/>
      <c r="E117" s="53"/>
      <c r="F117" s="53"/>
      <c r="G117" s="114">
        <f>G118-G116-G115</f>
        <v>647.56000000000131</v>
      </c>
      <c r="H117" s="114">
        <f t="shared" ref="H117:K117" si="154">H118-H116-H115</f>
        <v>2914.7136000000028</v>
      </c>
      <c r="I117" s="114">
        <f t="shared" si="154"/>
        <v>3308.3539583999991</v>
      </c>
      <c r="J117" s="114">
        <f t="shared" si="154"/>
        <v>3536.6303815296014</v>
      </c>
      <c r="K117" s="114">
        <f t="shared" si="154"/>
        <v>3780.6578778551411</v>
      </c>
      <c r="L117" s="114">
        <f t="shared" ref="L117:N117" si="155">L118-L116-L115</f>
        <v>4041.5232714271442</v>
      </c>
      <c r="M117" s="114">
        <f t="shared" si="155"/>
        <v>4320.3883771556175</v>
      </c>
      <c r="N117" s="114">
        <f t="shared" si="155"/>
        <v>4618.495175179356</v>
      </c>
    </row>
    <row r="118" spans="3:14">
      <c r="C118" s="34" t="s">
        <v>28</v>
      </c>
      <c r="E118" s="28">
        <f t="shared" ref="E118:K118" si="156">E56</f>
        <v>18177</v>
      </c>
      <c r="F118" s="28">
        <f t="shared" si="156"/>
        <v>22283</v>
      </c>
      <c r="G118" s="28">
        <f t="shared" si="156"/>
        <v>21391.68</v>
      </c>
      <c r="H118" s="28">
        <f t="shared" si="156"/>
        <v>22675.180800000002</v>
      </c>
      <c r="I118" s="28">
        <f t="shared" si="156"/>
        <v>24239.7682752</v>
      </c>
      <c r="J118" s="28">
        <f t="shared" si="156"/>
        <v>25912.3122861888</v>
      </c>
      <c r="K118" s="28">
        <f t="shared" si="156"/>
        <v>27700.261833935827</v>
      </c>
      <c r="L118" s="28">
        <f t="shared" ref="L118:N118" si="157">L56</f>
        <v>29611.579900477398</v>
      </c>
      <c r="M118" s="28">
        <f t="shared" si="157"/>
        <v>31654.778913610338</v>
      </c>
      <c r="N118" s="28">
        <f t="shared" si="157"/>
        <v>33838.958658649448</v>
      </c>
    </row>
    <row r="119" spans="3:14">
      <c r="C119" s="19"/>
      <c r="E119" s="17"/>
      <c r="F119" s="17"/>
      <c r="H119" s="17"/>
      <c r="I119" s="17"/>
      <c r="J119" s="17"/>
      <c r="K119" s="17"/>
      <c r="L119" s="17"/>
      <c r="M119" s="17"/>
      <c r="N119" s="17"/>
    </row>
    <row r="120" spans="3:14">
      <c r="C120" s="41" t="s">
        <v>74</v>
      </c>
      <c r="D120" s="40"/>
      <c r="E120" s="40"/>
      <c r="F120" s="40"/>
      <c r="G120" s="6"/>
      <c r="H120" s="6"/>
      <c r="I120" s="6"/>
      <c r="J120" s="6"/>
      <c r="K120" s="6"/>
      <c r="L120" s="83"/>
      <c r="M120" s="83"/>
      <c r="N120" s="83"/>
    </row>
    <row r="121" spans="3:14">
      <c r="C121" s="27" t="s">
        <v>27</v>
      </c>
      <c r="G121" s="103">
        <f>F125</f>
        <v>70400</v>
      </c>
      <c r="H121" s="103">
        <f t="shared" ref="H121:K121" ca="1" si="158">G125</f>
        <v>35907.506097684833</v>
      </c>
      <c r="I121" s="103">
        <f ca="1">H125</f>
        <v>5326.4073574395152</v>
      </c>
      <c r="J121" s="103">
        <f t="shared" ca="1" si="158"/>
        <v>-21502.07229787598</v>
      </c>
      <c r="K121" s="103">
        <f t="shared" ca="1" si="158"/>
        <v>-44512.770602963741</v>
      </c>
      <c r="L121" s="115">
        <f t="shared" ref="L121" ca="1" si="159">K125</f>
        <v>-63330.421292388979</v>
      </c>
      <c r="M121" s="115">
        <f t="shared" ref="M121" ca="1" si="160">L125</f>
        <v>-77552.534311363474</v>
      </c>
      <c r="N121" s="115">
        <f t="shared" ref="N121" ca="1" si="161">M125</f>
        <v>-86746.724229456566</v>
      </c>
    </row>
    <row r="122" spans="3:14">
      <c r="C122" s="19" t="s">
        <v>61</v>
      </c>
      <c r="D122" s="14">
        <f>D34</f>
        <v>45687</v>
      </c>
      <c r="E122" s="14">
        <f>E34</f>
        <v>48351</v>
      </c>
      <c r="F122" s="14">
        <f>F34</f>
        <v>59531</v>
      </c>
      <c r="G122" s="103">
        <f ca="1">G34</f>
        <v>52298.506097684833</v>
      </c>
      <c r="H122" s="103">
        <f t="shared" ref="H122:K122" ca="1" si="162">H34</f>
        <v>56209.901259754675</v>
      </c>
      <c r="I122" s="103">
        <f t="shared" ca="1" si="162"/>
        <v>59962.520344684504</v>
      </c>
      <c r="J122" s="103">
        <f t="shared" ca="1" si="162"/>
        <v>63780.301694912239</v>
      </c>
      <c r="K122" s="103">
        <f t="shared" ca="1" si="162"/>
        <v>67973.349310574762</v>
      </c>
      <c r="L122" s="103">
        <f t="shared" ref="L122:N122" ca="1" si="163">L34</f>
        <v>72568.886981025498</v>
      </c>
      <c r="M122" s="103">
        <f t="shared" ca="1" si="163"/>
        <v>77596.810081906908</v>
      </c>
      <c r="N122" s="103">
        <f t="shared" ca="1" si="163"/>
        <v>83088.686492617737</v>
      </c>
    </row>
    <row r="123" spans="3:14">
      <c r="C123" s="19" t="s">
        <v>62</v>
      </c>
      <c r="D123" s="3">
        <v>-12188</v>
      </c>
      <c r="E123" s="3">
        <v>-12803</v>
      </c>
      <c r="F123" s="3">
        <v>-13735</v>
      </c>
      <c r="G123" s="103">
        <f>F123</f>
        <v>-13735</v>
      </c>
      <c r="H123" s="103">
        <f t="shared" ref="H123:K124" si="164">G123</f>
        <v>-13735</v>
      </c>
      <c r="I123" s="103">
        <f>H123</f>
        <v>-13735</v>
      </c>
      <c r="J123" s="103">
        <f t="shared" si="164"/>
        <v>-13735</v>
      </c>
      <c r="K123" s="103">
        <f t="shared" si="164"/>
        <v>-13735</v>
      </c>
      <c r="L123" s="103">
        <f t="shared" ref="L123:L124" si="165">K123</f>
        <v>-13735</v>
      </c>
      <c r="M123" s="103">
        <f t="shared" ref="M123:M124" si="166">L123</f>
        <v>-13735</v>
      </c>
      <c r="N123" s="103">
        <f t="shared" ref="N123:N124" si="167">M123</f>
        <v>-13735</v>
      </c>
    </row>
    <row r="124" spans="3:14">
      <c r="C124" s="55" t="s">
        <v>63</v>
      </c>
      <c r="D124" s="51">
        <v>-29000</v>
      </c>
      <c r="E124" s="51">
        <v>-33001</v>
      </c>
      <c r="F124" s="51">
        <v>-73056</v>
      </c>
      <c r="G124" s="108">
        <f>F124</f>
        <v>-73056</v>
      </c>
      <c r="H124" s="108">
        <f t="shared" si="164"/>
        <v>-73056</v>
      </c>
      <c r="I124" s="108">
        <f>H124</f>
        <v>-73056</v>
      </c>
      <c r="J124" s="108">
        <f t="shared" si="164"/>
        <v>-73056</v>
      </c>
      <c r="K124" s="108">
        <f t="shared" si="164"/>
        <v>-73056</v>
      </c>
      <c r="L124" s="108">
        <f t="shared" si="165"/>
        <v>-73056</v>
      </c>
      <c r="M124" s="108">
        <f t="shared" si="166"/>
        <v>-73056</v>
      </c>
      <c r="N124" s="108">
        <f t="shared" si="167"/>
        <v>-73056</v>
      </c>
    </row>
    <row r="125" spans="3:14">
      <c r="C125" s="34" t="s">
        <v>28</v>
      </c>
      <c r="D125" s="16">
        <f>D68</f>
        <v>0</v>
      </c>
      <c r="E125" s="16">
        <f>E68</f>
        <v>98330</v>
      </c>
      <c r="F125" s="16">
        <f>F68</f>
        <v>70400</v>
      </c>
      <c r="G125" s="103">
        <f ca="1">G121+G122+G123+G124</f>
        <v>35907.506097684833</v>
      </c>
      <c r="H125" s="103">
        <f t="shared" ref="H125:K125" ca="1" si="168">H121+H122+H123+H124</f>
        <v>5326.4073574395152</v>
      </c>
      <c r="I125" s="103">
        <f t="shared" ca="1" si="168"/>
        <v>-21502.07229787598</v>
      </c>
      <c r="J125" s="103">
        <f t="shared" ca="1" si="168"/>
        <v>-44512.770602963741</v>
      </c>
      <c r="K125" s="103">
        <f t="shared" ca="1" si="168"/>
        <v>-63330.421292388979</v>
      </c>
      <c r="L125" s="103">
        <f t="shared" ref="L125:N125" ca="1" si="169">L121+L122+L123+L124</f>
        <v>-77552.534311363474</v>
      </c>
      <c r="M125" s="103">
        <f t="shared" ca="1" si="169"/>
        <v>-86746.724229456566</v>
      </c>
      <c r="N125" s="103">
        <f t="shared" ca="1" si="169"/>
        <v>-90449.037736838829</v>
      </c>
    </row>
    <row r="126" spans="3:14">
      <c r="C126" s="34"/>
      <c r="D126" s="16"/>
      <c r="E126" s="16"/>
      <c r="F126" s="16"/>
      <c r="G126" s="103"/>
      <c r="H126" s="103"/>
      <c r="I126" s="103"/>
      <c r="J126" s="103"/>
      <c r="K126" s="103"/>
      <c r="L126" s="103"/>
      <c r="M126" s="103"/>
      <c r="N126" s="103"/>
    </row>
    <row r="127" spans="3:14" ht="16">
      <c r="C127" s="81" t="s">
        <v>162</v>
      </c>
      <c r="E127" s="33"/>
      <c r="F127" s="33"/>
    </row>
    <row r="128" spans="3:14">
      <c r="C128" s="19" t="s">
        <v>160</v>
      </c>
      <c r="D128" s="79">
        <f t="shared" ref="D128:E128" si="170">D123/D122</f>
        <v>-0.26677172937597127</v>
      </c>
      <c r="E128" s="79">
        <f t="shared" si="170"/>
        <v>-0.2647928688134682</v>
      </c>
      <c r="F128" s="79">
        <f>F123/F122</f>
        <v>-0.23072012900841579</v>
      </c>
      <c r="G128" s="80">
        <f>F128</f>
        <v>-0.23072012900841579</v>
      </c>
      <c r="H128" s="80">
        <f t="shared" ref="H128:K128" si="171">G128</f>
        <v>-0.23072012900841579</v>
      </c>
      <c r="I128" s="80">
        <f>H128</f>
        <v>-0.23072012900841579</v>
      </c>
      <c r="J128" s="80">
        <f t="shared" si="171"/>
        <v>-0.23072012900841579</v>
      </c>
      <c r="K128" s="80">
        <f t="shared" si="171"/>
        <v>-0.23072012900841579</v>
      </c>
      <c r="L128" s="80">
        <f t="shared" ref="L128" si="172">K128</f>
        <v>-0.23072012900841579</v>
      </c>
      <c r="M128" s="80">
        <f t="shared" ref="M128" si="173">L128</f>
        <v>-0.23072012900841579</v>
      </c>
      <c r="N128" s="80">
        <f t="shared" ref="N128" si="174">M128</f>
        <v>-0.23072012900841579</v>
      </c>
    </row>
    <row r="129" spans="3:14">
      <c r="C129" s="19" t="s">
        <v>161</v>
      </c>
      <c r="D129" s="79">
        <f>D124/D122</f>
        <v>-0.63475386871538952</v>
      </c>
      <c r="E129" s="79">
        <f t="shared" ref="E129:K129" si="175">E124/E122</f>
        <v>-0.68252983392277311</v>
      </c>
      <c r="F129" s="79">
        <f t="shared" si="175"/>
        <v>-1.2271925551393392</v>
      </c>
      <c r="G129" s="79">
        <f t="shared" ca="1" si="175"/>
        <v>-1.3969041460485248</v>
      </c>
      <c r="H129" s="79">
        <f t="shared" ca="1" si="175"/>
        <v>-1.29969984580469</v>
      </c>
      <c r="I129" s="79">
        <f t="shared" ca="1" si="175"/>
        <v>-1.2183610625445664</v>
      </c>
      <c r="J129" s="79">
        <f t="shared" ca="1" si="175"/>
        <v>-1.1454320230320842</v>
      </c>
      <c r="K129" s="79">
        <f t="shared" ca="1" si="175"/>
        <v>-1.074774168714304</v>
      </c>
      <c r="L129" s="79">
        <f t="shared" ref="L129:N129" ca="1" si="176">L124/L122</f>
        <v>-1.0067124223512187</v>
      </c>
      <c r="M129" s="79">
        <f t="shared" ca="1" si="176"/>
        <v>-0.94148200065036336</v>
      </c>
      <c r="N129" s="79">
        <f t="shared" ca="1" si="176"/>
        <v>-0.87925327844111334</v>
      </c>
    </row>
    <row r="131" spans="3:14">
      <c r="C131" s="5" t="s">
        <v>115</v>
      </c>
      <c r="D131" s="6"/>
      <c r="E131" s="6"/>
      <c r="F131" s="6"/>
      <c r="G131" s="6"/>
      <c r="H131" s="6"/>
      <c r="I131" s="6"/>
      <c r="J131" s="6"/>
      <c r="K131" s="6"/>
      <c r="L131" s="83"/>
      <c r="M131" s="83"/>
      <c r="N131" s="83"/>
    </row>
    <row r="132" spans="3:14">
      <c r="C132" s="25" t="str">
        <f>C20</f>
        <v xml:space="preserve">Fiscal year  </v>
      </c>
      <c r="D132" s="22">
        <f>D20</f>
        <v>2016</v>
      </c>
      <c r="E132" s="22">
        <f t="shared" ref="E132:N133" si="177">E20</f>
        <v>2017</v>
      </c>
      <c r="F132" s="22">
        <f t="shared" si="177"/>
        <v>2018</v>
      </c>
      <c r="G132" s="22">
        <f t="shared" si="177"/>
        <v>2019</v>
      </c>
      <c r="H132" s="22">
        <f t="shared" si="177"/>
        <v>2020</v>
      </c>
      <c r="I132" s="22">
        <f t="shared" si="177"/>
        <v>2021</v>
      </c>
      <c r="J132" s="22">
        <f t="shared" si="177"/>
        <v>2022</v>
      </c>
      <c r="K132" s="22">
        <f t="shared" si="177"/>
        <v>2023</v>
      </c>
      <c r="L132" s="22">
        <f t="shared" si="177"/>
        <v>2024</v>
      </c>
      <c r="M132" s="22">
        <f t="shared" si="177"/>
        <v>2025</v>
      </c>
      <c r="N132" s="22">
        <f t="shared" si="177"/>
        <v>2026</v>
      </c>
    </row>
    <row r="133" spans="3:14">
      <c r="C133" s="6" t="str">
        <f>C21</f>
        <v>Fiscal year end date</v>
      </c>
      <c r="D133" s="24">
        <f>D21</f>
        <v>42643</v>
      </c>
      <c r="E133" s="24">
        <f t="shared" si="177"/>
        <v>43008</v>
      </c>
      <c r="F133" s="24">
        <f t="shared" si="177"/>
        <v>43372</v>
      </c>
      <c r="G133" s="24">
        <f t="shared" si="177"/>
        <v>43738</v>
      </c>
      <c r="H133" s="24">
        <f t="shared" si="177"/>
        <v>44104</v>
      </c>
      <c r="I133" s="24">
        <f t="shared" si="177"/>
        <v>44469</v>
      </c>
      <c r="J133" s="24">
        <f t="shared" si="177"/>
        <v>44834</v>
      </c>
      <c r="K133" s="24">
        <f t="shared" si="177"/>
        <v>45199</v>
      </c>
      <c r="L133" s="24">
        <f t="shared" si="177"/>
        <v>45565</v>
      </c>
      <c r="M133" s="24">
        <f t="shared" si="177"/>
        <v>45930</v>
      </c>
      <c r="N133" s="24">
        <f t="shared" si="177"/>
        <v>46295</v>
      </c>
    </row>
    <row r="134" spans="3:14">
      <c r="C134" s="15"/>
    </row>
    <row r="135" spans="3:14">
      <c r="C135" s="18" t="s">
        <v>39</v>
      </c>
    </row>
    <row r="136" spans="3:14">
      <c r="C136" s="19" t="s">
        <v>44</v>
      </c>
      <c r="G136" s="103">
        <f>F51</f>
        <v>237100</v>
      </c>
      <c r="H136" s="103">
        <f ca="1">G51</f>
        <v>202199.73246575586</v>
      </c>
      <c r="I136" s="103">
        <f ca="1">H51</f>
        <v>176523.72487352614</v>
      </c>
      <c r="J136" s="103">
        <f t="shared" ref="J136:K136" ca="1" si="178">I51</f>
        <v>156076.92943323214</v>
      </c>
      <c r="K136" s="103">
        <f t="shared" ca="1" si="178"/>
        <v>140446.38719768473</v>
      </c>
      <c r="L136" s="103">
        <f t="shared" ref="L136" ca="1" si="179">K51</f>
        <v>129971.74231752878</v>
      </c>
      <c r="M136" s="103">
        <f t="shared" ref="M136" ca="1" si="180">L51</f>
        <v>125149.66821586664</v>
      </c>
      <c r="N136" s="103">
        <f t="shared" ref="N136" ca="1" si="181">M51</f>
        <v>126465.88960758396</v>
      </c>
    </row>
    <row r="137" spans="3:14">
      <c r="C137" s="19" t="s">
        <v>68</v>
      </c>
      <c r="G137" s="3">
        <v>-50000</v>
      </c>
      <c r="H137" s="3">
        <v>-50000</v>
      </c>
      <c r="I137" s="3">
        <v>-50000</v>
      </c>
      <c r="J137" s="3">
        <v>-50000</v>
      </c>
      <c r="K137" s="3">
        <v>-50000</v>
      </c>
      <c r="L137" s="3">
        <v>-50000</v>
      </c>
      <c r="M137" s="3">
        <v>-50000</v>
      </c>
      <c r="N137" s="3">
        <v>-50000</v>
      </c>
    </row>
    <row r="138" spans="3:14">
      <c r="C138" s="55" t="s">
        <v>138</v>
      </c>
      <c r="D138" s="53"/>
      <c r="E138" s="53"/>
      <c r="F138" s="53"/>
      <c r="G138" s="108">
        <f ca="1">G96-G91</f>
        <v>-34936.267534244129</v>
      </c>
      <c r="H138" s="108">
        <f t="shared" ref="H138:K138" ca="1" si="182">H96-H91</f>
        <v>-25676.00759222974</v>
      </c>
      <c r="I138" s="108">
        <f t="shared" ca="1" si="182"/>
        <v>-20446.795440293994</v>
      </c>
      <c r="J138" s="108">
        <f t="shared" ca="1" si="182"/>
        <v>-15630.542235547415</v>
      </c>
      <c r="K138" s="108">
        <f t="shared" ca="1" si="182"/>
        <v>-10474.644880155945</v>
      </c>
      <c r="L138" s="108">
        <f t="shared" ref="L138:N138" ca="1" si="183">L96-L91</f>
        <v>-4822.0741016621469</v>
      </c>
      <c r="M138" s="108">
        <f t="shared" ca="1" si="183"/>
        <v>1316.2213917173212</v>
      </c>
      <c r="N138" s="108">
        <f t="shared" ca="1" si="183"/>
        <v>7975.4898900085536</v>
      </c>
    </row>
    <row r="139" spans="3:14">
      <c r="C139" s="34" t="s">
        <v>89</v>
      </c>
      <c r="G139" s="105">
        <f ca="1">G136+G137+G138</f>
        <v>152163.73246575586</v>
      </c>
      <c r="H139" s="105">
        <f t="shared" ref="H139:K139" ca="1" si="184">H136+H137+H138</f>
        <v>126523.72487352612</v>
      </c>
      <c r="I139" s="105">
        <f t="shared" ca="1" si="184"/>
        <v>106076.92943323214</v>
      </c>
      <c r="J139" s="105">
        <f t="shared" ca="1" si="184"/>
        <v>90446.387197684729</v>
      </c>
      <c r="K139" s="105">
        <f t="shared" ca="1" si="184"/>
        <v>79971.742317528784</v>
      </c>
      <c r="L139" s="105">
        <f t="shared" ref="L139:N139" ca="1" si="185">L136+L137+L138</f>
        <v>75149.668215866637</v>
      </c>
      <c r="M139" s="105">
        <f t="shared" ca="1" si="185"/>
        <v>76465.889607583958</v>
      </c>
      <c r="N139" s="105">
        <f t="shared" ca="1" si="185"/>
        <v>84441.379497592512</v>
      </c>
    </row>
    <row r="140" spans="3:14">
      <c r="C140" s="34"/>
      <c r="G140" s="105"/>
      <c r="H140" s="105"/>
      <c r="I140" s="105"/>
      <c r="J140" s="105"/>
      <c r="K140" s="105"/>
      <c r="L140" s="105"/>
      <c r="M140" s="105"/>
      <c r="N140" s="105"/>
    </row>
    <row r="142" spans="3:14">
      <c r="C142" s="15" t="s">
        <v>100</v>
      </c>
    </row>
    <row r="143" spans="3:14">
      <c r="C143" s="19" t="s">
        <v>27</v>
      </c>
      <c r="G143" s="103">
        <f>F146</f>
        <v>11964</v>
      </c>
      <c r="H143" s="103">
        <f t="shared" ref="H143:K143" ca="1" si="186">G146</f>
        <v>12000</v>
      </c>
      <c r="I143" s="103">
        <f ca="1">H146</f>
        <v>12000</v>
      </c>
      <c r="J143" s="103">
        <f t="shared" ca="1" si="186"/>
        <v>12000</v>
      </c>
      <c r="K143" s="103">
        <f t="shared" ca="1" si="186"/>
        <v>12000</v>
      </c>
      <c r="L143" s="103">
        <f t="shared" ref="L143" ca="1" si="187">K146</f>
        <v>12000</v>
      </c>
      <c r="M143" s="103">
        <f t="shared" ref="M143" ca="1" si="188">L146</f>
        <v>12000</v>
      </c>
      <c r="N143" s="103">
        <f t="shared" ref="N143" ca="1" si="189">M146</f>
        <v>12000</v>
      </c>
    </row>
    <row r="144" spans="3:14">
      <c r="C144" s="30" t="s">
        <v>140</v>
      </c>
      <c r="G144" s="103">
        <f ca="1">-MIN(G143,G139)</f>
        <v>-11964</v>
      </c>
      <c r="H144" s="103">
        <f t="shared" ref="H144:K144" ca="1" si="190">-MIN(H143,H139)</f>
        <v>-12000</v>
      </c>
      <c r="I144" s="103">
        <f t="shared" ca="1" si="190"/>
        <v>-12000</v>
      </c>
      <c r="J144" s="103">
        <f t="shared" ca="1" si="190"/>
        <v>-12000</v>
      </c>
      <c r="K144" s="103">
        <f t="shared" ca="1" si="190"/>
        <v>-12000</v>
      </c>
      <c r="L144" s="103">
        <f t="shared" ref="L144:N144" ca="1" si="191">-MIN(L143,L139)</f>
        <v>-12000</v>
      </c>
      <c r="M144" s="103">
        <f t="shared" ca="1" si="191"/>
        <v>-12000</v>
      </c>
      <c r="N144" s="103">
        <f t="shared" ca="1" si="191"/>
        <v>-12000</v>
      </c>
    </row>
    <row r="145" spans="3:14">
      <c r="C145" s="54" t="s">
        <v>141</v>
      </c>
      <c r="D145" s="53"/>
      <c r="E145" s="53"/>
      <c r="F145" s="53"/>
      <c r="G145" s="51">
        <v>12000</v>
      </c>
      <c r="H145" s="51">
        <v>12000</v>
      </c>
      <c r="I145" s="51">
        <v>12000</v>
      </c>
      <c r="J145" s="51">
        <v>12000</v>
      </c>
      <c r="K145" s="51">
        <v>12000</v>
      </c>
      <c r="L145" s="51">
        <v>12000</v>
      </c>
      <c r="M145" s="51">
        <v>12000</v>
      </c>
      <c r="N145" s="51">
        <v>12000</v>
      </c>
    </row>
    <row r="146" spans="3:14">
      <c r="C146" s="73" t="s">
        <v>28</v>
      </c>
      <c r="D146" s="74">
        <f>D66</f>
        <v>0</v>
      </c>
      <c r="E146" s="74">
        <f>E62</f>
        <v>11977</v>
      </c>
      <c r="F146" s="74">
        <f t="shared" ref="F146" si="192">F62</f>
        <v>11964</v>
      </c>
      <c r="G146" s="74">
        <f ca="1">SUM(G143:G145)</f>
        <v>12000</v>
      </c>
      <c r="H146" s="74">
        <f t="shared" ref="H146:K146" ca="1" si="193">SUM(H143:H145)</f>
        <v>12000</v>
      </c>
      <c r="I146" s="74">
        <f t="shared" ca="1" si="193"/>
        <v>12000</v>
      </c>
      <c r="J146" s="74">
        <f t="shared" ca="1" si="193"/>
        <v>12000</v>
      </c>
      <c r="K146" s="74">
        <f t="shared" ca="1" si="193"/>
        <v>12000</v>
      </c>
      <c r="L146" s="74">
        <f t="shared" ref="L146:N146" ca="1" si="194">SUM(L143:L145)</f>
        <v>12000</v>
      </c>
      <c r="M146" s="74">
        <f t="shared" ca="1" si="194"/>
        <v>12000</v>
      </c>
      <c r="N146" s="74">
        <f t="shared" ca="1" si="194"/>
        <v>12000</v>
      </c>
    </row>
    <row r="147" spans="3:14">
      <c r="C147" s="62" t="s">
        <v>106</v>
      </c>
      <c r="D147" s="67"/>
      <c r="E147" s="67"/>
      <c r="F147" s="68"/>
      <c r="G147" s="63" t="str">
        <f ca="1">IF(G146&lt;0,"Negative Debt","OK")</f>
        <v>OK</v>
      </c>
      <c r="H147" s="63" t="str">
        <f ca="1">IF(H146&lt;0,"Negative Debt","OK")</f>
        <v>OK</v>
      </c>
      <c r="I147" s="63" t="str">
        <f ca="1">IF(I146&lt;0,"Negative Debt","OK")</f>
        <v>OK</v>
      </c>
      <c r="J147" s="63" t="str">
        <f ca="1">IF(J146&lt;0,"Negative Debt","OK")</f>
        <v>OK</v>
      </c>
      <c r="K147" s="64" t="str">
        <f ca="1">IF(K146&lt;0,"Negative Debt","OK")</f>
        <v>OK</v>
      </c>
      <c r="L147" s="64" t="str">
        <f t="shared" ref="L147:N147" ca="1" si="195">IF(L146&lt;0,"Negative Debt","OK")</f>
        <v>OK</v>
      </c>
      <c r="M147" s="64" t="str">
        <f t="shared" ca="1" si="195"/>
        <v>OK</v>
      </c>
      <c r="N147" s="64" t="str">
        <f t="shared" ca="1" si="195"/>
        <v>OK</v>
      </c>
    </row>
    <row r="148" spans="3:14">
      <c r="D148" s="17"/>
      <c r="E148" s="17"/>
      <c r="F148" s="65"/>
      <c r="G148" s="66"/>
      <c r="H148" s="66"/>
      <c r="I148" s="66"/>
      <c r="J148" s="66"/>
      <c r="K148" s="66"/>
      <c r="L148" s="66"/>
      <c r="M148" s="66"/>
      <c r="N148" s="66"/>
    </row>
    <row r="149" spans="3:14">
      <c r="C149" s="5" t="s">
        <v>42</v>
      </c>
      <c r="D149" s="31"/>
      <c r="E149" s="31"/>
      <c r="F149" s="31"/>
      <c r="G149" s="32"/>
      <c r="H149" s="32"/>
      <c r="I149" s="32"/>
      <c r="J149" s="32"/>
      <c r="K149" s="32"/>
      <c r="L149" s="87"/>
      <c r="M149" s="87"/>
      <c r="N149" s="87"/>
    </row>
    <row r="150" spans="3:14">
      <c r="C150" s="25" t="str">
        <f>C20</f>
        <v xml:space="preserve">Fiscal year  </v>
      </c>
      <c r="D150" s="22">
        <f>D20</f>
        <v>2016</v>
      </c>
      <c r="E150" s="22">
        <f t="shared" ref="E150:N151" si="196">E20</f>
        <v>2017</v>
      </c>
      <c r="F150" s="22">
        <f t="shared" si="196"/>
        <v>2018</v>
      </c>
      <c r="G150" s="22">
        <f t="shared" si="196"/>
        <v>2019</v>
      </c>
      <c r="H150" s="22">
        <f t="shared" si="196"/>
        <v>2020</v>
      </c>
      <c r="I150" s="22">
        <f t="shared" si="196"/>
        <v>2021</v>
      </c>
      <c r="J150" s="22">
        <f t="shared" si="196"/>
        <v>2022</v>
      </c>
      <c r="K150" s="22">
        <f t="shared" si="196"/>
        <v>2023</v>
      </c>
      <c r="L150" s="91">
        <f t="shared" si="196"/>
        <v>2024</v>
      </c>
      <c r="M150" s="91">
        <f t="shared" si="196"/>
        <v>2025</v>
      </c>
      <c r="N150" s="91">
        <f t="shared" si="196"/>
        <v>2026</v>
      </c>
    </row>
    <row r="151" spans="3:14">
      <c r="C151" s="6" t="str">
        <f>C21</f>
        <v>Fiscal year end date</v>
      </c>
      <c r="D151" s="24">
        <f>D21</f>
        <v>42643</v>
      </c>
      <c r="E151" s="24">
        <f t="shared" si="196"/>
        <v>43008</v>
      </c>
      <c r="F151" s="24">
        <f t="shared" si="196"/>
        <v>43372</v>
      </c>
      <c r="G151" s="24">
        <f t="shared" si="196"/>
        <v>43738</v>
      </c>
      <c r="H151" s="24">
        <f t="shared" si="196"/>
        <v>44104</v>
      </c>
      <c r="I151" s="24">
        <f t="shared" si="196"/>
        <v>44469</v>
      </c>
      <c r="J151" s="24">
        <f t="shared" si="196"/>
        <v>44834</v>
      </c>
      <c r="K151" s="24">
        <f t="shared" si="196"/>
        <v>45199</v>
      </c>
      <c r="L151" s="24">
        <f t="shared" si="196"/>
        <v>45565</v>
      </c>
      <c r="M151" s="24">
        <f t="shared" si="196"/>
        <v>45930</v>
      </c>
      <c r="N151" s="24">
        <f t="shared" si="196"/>
        <v>46295</v>
      </c>
    </row>
    <row r="152" spans="3:14">
      <c r="C152" s="19"/>
      <c r="D152" s="17"/>
      <c r="E152" s="17"/>
      <c r="F152" s="17"/>
      <c r="G152" s="69"/>
      <c r="H152" s="69"/>
      <c r="I152" s="69"/>
      <c r="J152" s="69"/>
      <c r="K152" s="69"/>
      <c r="L152" s="88"/>
      <c r="M152" s="88"/>
      <c r="N152" s="88"/>
    </row>
    <row r="153" spans="3:14">
      <c r="C153" s="27" t="s">
        <v>146</v>
      </c>
      <c r="D153" s="17">
        <f>-D30</f>
        <v>1456</v>
      </c>
      <c r="E153" s="17">
        <f t="shared" ref="E153:F153" si="197">-E30</f>
        <v>2323</v>
      </c>
      <c r="F153" s="17">
        <f t="shared" si="197"/>
        <v>3240</v>
      </c>
      <c r="G153" s="103">
        <f ca="1">G158+G163</f>
        <v>3223.1468651501777</v>
      </c>
      <c r="H153" s="103">
        <f t="shared" ref="H153:N153" ca="1" si="198">H158+H163</f>
        <v>3223.5392651501775</v>
      </c>
      <c r="I153" s="103">
        <f t="shared" ca="1" si="198"/>
        <v>3223.5392651501775</v>
      </c>
      <c r="J153" s="103">
        <f t="shared" ca="1" si="198"/>
        <v>3223.5392651501775</v>
      </c>
      <c r="K153" s="103">
        <f t="shared" ca="1" si="198"/>
        <v>3223.5392651501775</v>
      </c>
      <c r="L153" s="103">
        <f t="shared" ca="1" si="198"/>
        <v>3223.5392651501775</v>
      </c>
      <c r="M153" s="103">
        <f t="shared" ca="1" si="198"/>
        <v>3223.5392651501775</v>
      </c>
      <c r="N153" s="103">
        <f t="shared" ca="1" si="198"/>
        <v>3223.5392651501775</v>
      </c>
    </row>
    <row r="154" spans="3:14">
      <c r="C154" s="38"/>
    </row>
    <row r="155" spans="3:14">
      <c r="C155" s="50" t="s">
        <v>67</v>
      </c>
    </row>
    <row r="156" spans="3:14">
      <c r="C156" s="19" t="s">
        <v>98</v>
      </c>
      <c r="E156" s="36">
        <v>1.2E-2</v>
      </c>
      <c r="F156" s="36">
        <v>2.18E-2</v>
      </c>
      <c r="G156" s="116">
        <f>F156</f>
        <v>2.18E-2</v>
      </c>
      <c r="H156" s="116">
        <f t="shared" ref="H156:K156" si="199">G156</f>
        <v>2.18E-2</v>
      </c>
      <c r="I156" s="116">
        <f>H156</f>
        <v>2.18E-2</v>
      </c>
      <c r="J156" s="116">
        <f t="shared" si="199"/>
        <v>2.18E-2</v>
      </c>
      <c r="K156" s="116">
        <f t="shared" si="199"/>
        <v>2.18E-2</v>
      </c>
      <c r="L156" s="116">
        <f t="shared" ref="L156" si="200">K156</f>
        <v>2.18E-2</v>
      </c>
      <c r="M156" s="116">
        <f t="shared" ref="M156" si="201">L156</f>
        <v>2.18E-2</v>
      </c>
      <c r="N156" s="116">
        <f t="shared" ref="N156" si="202">M156</f>
        <v>2.18E-2</v>
      </c>
    </row>
    <row r="157" spans="3:14">
      <c r="C157" s="19" t="s">
        <v>99</v>
      </c>
      <c r="D157" s="17"/>
      <c r="E157" s="17">
        <f>E146</f>
        <v>11977</v>
      </c>
      <c r="F157" s="17">
        <f>F146</f>
        <v>11964</v>
      </c>
      <c r="G157" s="103">
        <f ca="1">G146</f>
        <v>12000</v>
      </c>
      <c r="H157" s="103">
        <f t="shared" ref="H157:K157" ca="1" si="203">H146</f>
        <v>12000</v>
      </c>
      <c r="I157" s="103">
        <f t="shared" ca="1" si="203"/>
        <v>12000</v>
      </c>
      <c r="J157" s="103">
        <f t="shared" ca="1" si="203"/>
        <v>12000</v>
      </c>
      <c r="K157" s="103">
        <f t="shared" ca="1" si="203"/>
        <v>12000</v>
      </c>
      <c r="L157" s="103">
        <f t="shared" ref="L157:N157" ca="1" si="204">L146</f>
        <v>12000</v>
      </c>
      <c r="M157" s="103">
        <f t="shared" ca="1" si="204"/>
        <v>12000</v>
      </c>
      <c r="N157" s="103">
        <f t="shared" ca="1" si="204"/>
        <v>12000</v>
      </c>
    </row>
    <row r="158" spans="3:14">
      <c r="C158" s="75" t="s">
        <v>40</v>
      </c>
      <c r="D158" s="76"/>
      <c r="E158" s="76">
        <f>AVERAGE(E157,D157)*E156</f>
        <v>143.72399999999999</v>
      </c>
      <c r="F158" s="76">
        <f>AVERAGE(F157,E157)*F156</f>
        <v>260.95690000000002</v>
      </c>
      <c r="G158" s="117">
        <f ca="1">G156*AVERAGE(F157,G157)</f>
        <v>261.20760000000001</v>
      </c>
      <c r="H158" s="117">
        <f t="shared" ref="H158:K158" ca="1" si="205">H156*AVERAGE(G157,H157)</f>
        <v>261.60000000000002</v>
      </c>
      <c r="I158" s="117">
        <f ca="1">I156*AVERAGE(H157,I157)</f>
        <v>261.60000000000002</v>
      </c>
      <c r="J158" s="117">
        <f t="shared" ca="1" si="205"/>
        <v>261.60000000000002</v>
      </c>
      <c r="K158" s="117">
        <f t="shared" ca="1" si="205"/>
        <v>261.60000000000002</v>
      </c>
      <c r="L158" s="117">
        <f t="shared" ref="L158" ca="1" si="206">L156*AVERAGE(K157,L157)</f>
        <v>261.60000000000002</v>
      </c>
      <c r="M158" s="117">
        <f t="shared" ref="M158" ca="1" si="207">M156*AVERAGE(L157,M157)</f>
        <v>261.60000000000002</v>
      </c>
      <c r="N158" s="117">
        <f t="shared" ref="N158" ca="1" si="208">N156*AVERAGE(M157,N157)</f>
        <v>261.60000000000002</v>
      </c>
    </row>
    <row r="159" spans="3:14">
      <c r="C159" s="43"/>
      <c r="D159" s="17"/>
      <c r="E159" s="17"/>
      <c r="F159" s="17"/>
    </row>
    <row r="160" spans="3:14">
      <c r="C160" s="50" t="s">
        <v>66</v>
      </c>
      <c r="D160" s="17"/>
      <c r="E160" s="17"/>
      <c r="F160" s="17"/>
    </row>
    <row r="161" spans="3:14">
      <c r="C161" s="19" t="s">
        <v>99</v>
      </c>
      <c r="D161" s="17"/>
      <c r="E161" s="17">
        <f>E63</f>
        <v>103703</v>
      </c>
      <c r="F161" s="17">
        <f t="shared" ref="F161" si="209">F63</f>
        <v>102519</v>
      </c>
      <c r="G161" s="103">
        <f>G63</f>
        <v>102519</v>
      </c>
      <c r="H161" s="103">
        <f t="shared" ref="H161:K161" si="210">H63</f>
        <v>102519</v>
      </c>
      <c r="I161" s="103">
        <f t="shared" si="210"/>
        <v>102519</v>
      </c>
      <c r="J161" s="103">
        <f t="shared" si="210"/>
        <v>102519</v>
      </c>
      <c r="K161" s="103">
        <f t="shared" si="210"/>
        <v>102519</v>
      </c>
      <c r="L161" s="103">
        <f t="shared" ref="L161:N161" si="211">L63</f>
        <v>102519</v>
      </c>
      <c r="M161" s="103">
        <f t="shared" si="211"/>
        <v>102519</v>
      </c>
      <c r="N161" s="103">
        <f t="shared" si="211"/>
        <v>102519</v>
      </c>
    </row>
    <row r="162" spans="3:14">
      <c r="C162" s="19" t="s">
        <v>98</v>
      </c>
      <c r="E162" s="120">
        <f>E163/(AVERAGE(E161,D161))</f>
        <v>2.101458974185896E-2</v>
      </c>
      <c r="F162" s="120">
        <f t="shared" ref="F162" si="212">F163/(AVERAGE(F161,E161))</f>
        <v>2.8891612921996681E-2</v>
      </c>
      <c r="G162" s="118">
        <f>F162</f>
        <v>2.8891612921996681E-2</v>
      </c>
      <c r="H162" s="118">
        <f t="shared" ref="H162:K162" si="213">G162</f>
        <v>2.8891612921996681E-2</v>
      </c>
      <c r="I162" s="118">
        <f>H162</f>
        <v>2.8891612921996681E-2</v>
      </c>
      <c r="J162" s="118">
        <f t="shared" si="213"/>
        <v>2.8891612921996681E-2</v>
      </c>
      <c r="K162" s="118">
        <f t="shared" si="213"/>
        <v>2.8891612921996681E-2</v>
      </c>
      <c r="L162" s="118">
        <f t="shared" ref="L162" si="214">K162</f>
        <v>2.8891612921996681E-2</v>
      </c>
      <c r="M162" s="118">
        <f t="shared" ref="M162" si="215">L162</f>
        <v>2.8891612921996681E-2</v>
      </c>
      <c r="N162" s="118">
        <f t="shared" ref="N162" si="216">M162</f>
        <v>2.8891612921996681E-2</v>
      </c>
    </row>
    <row r="163" spans="3:14">
      <c r="C163" s="34" t="s">
        <v>149</v>
      </c>
      <c r="D163" s="28"/>
      <c r="E163" s="105">
        <f>E153-E158</f>
        <v>2179.2759999999998</v>
      </c>
      <c r="F163" s="105">
        <f>F153-F158</f>
        <v>2979.0430999999999</v>
      </c>
      <c r="G163" s="112">
        <f>G161*G162</f>
        <v>2961.9392651501776</v>
      </c>
      <c r="H163" s="112">
        <f t="shared" ref="H163:K163" si="217">H161*H162</f>
        <v>2961.9392651501776</v>
      </c>
      <c r="I163" s="112">
        <f t="shared" si="217"/>
        <v>2961.9392651501776</v>
      </c>
      <c r="J163" s="112">
        <f t="shared" si="217"/>
        <v>2961.9392651501776</v>
      </c>
      <c r="K163" s="112">
        <f t="shared" si="217"/>
        <v>2961.9392651501776</v>
      </c>
      <c r="L163" s="112">
        <f t="shared" ref="L163:N163" si="218">L161*L162</f>
        <v>2961.9392651501776</v>
      </c>
      <c r="M163" s="112">
        <f t="shared" si="218"/>
        <v>2961.9392651501776</v>
      </c>
      <c r="N163" s="112">
        <f t="shared" si="218"/>
        <v>2961.9392651501776</v>
      </c>
    </row>
    <row r="164" spans="3:14">
      <c r="C164" s="34"/>
      <c r="D164" s="28"/>
      <c r="E164" s="28"/>
      <c r="F164" s="28"/>
      <c r="G164" s="28"/>
      <c r="H164" s="28"/>
      <c r="I164" s="28"/>
      <c r="J164" s="28"/>
      <c r="K164" s="28"/>
      <c r="L164" s="28"/>
      <c r="M164" s="28"/>
      <c r="N164" s="28"/>
    </row>
    <row r="165" spans="3:14">
      <c r="C165" s="38" t="s">
        <v>41</v>
      </c>
      <c r="E165" s="17"/>
      <c r="F165" s="17"/>
    </row>
    <row r="166" spans="3:14">
      <c r="C166" s="19" t="s">
        <v>102</v>
      </c>
      <c r="D166" s="35">
        <v>1.7299999999999999E-2</v>
      </c>
      <c r="E166" s="36">
        <v>1.9900000000000001E-2</v>
      </c>
      <c r="F166" s="36">
        <v>2.1600000000000001E-2</v>
      </c>
      <c r="G166" s="116">
        <f>F166</f>
        <v>2.1600000000000001E-2</v>
      </c>
      <c r="H166" s="116">
        <f t="shared" ref="H166:K166" si="219">G166</f>
        <v>2.1600000000000001E-2</v>
      </c>
      <c r="I166" s="116">
        <f>H166</f>
        <v>2.1600000000000001E-2</v>
      </c>
      <c r="J166" s="116">
        <f t="shared" si="219"/>
        <v>2.1600000000000001E-2</v>
      </c>
      <c r="K166" s="116">
        <f t="shared" si="219"/>
        <v>2.1600000000000001E-2</v>
      </c>
      <c r="L166" s="116">
        <f t="shared" ref="L166" si="220">K166</f>
        <v>2.1600000000000001E-2</v>
      </c>
      <c r="M166" s="116">
        <f t="shared" ref="M166" si="221">L166</f>
        <v>2.1600000000000001E-2</v>
      </c>
      <c r="N166" s="116">
        <f t="shared" ref="N166" si="222">M166</f>
        <v>2.1600000000000001E-2</v>
      </c>
    </row>
    <row r="167" spans="3:14">
      <c r="C167" s="19" t="s">
        <v>4</v>
      </c>
      <c r="D167" s="17">
        <f>D29</f>
        <v>3999</v>
      </c>
      <c r="E167" s="17">
        <f t="shared" ref="E167:F167" si="223">E29</f>
        <v>5201</v>
      </c>
      <c r="F167" s="17">
        <f t="shared" si="223"/>
        <v>5686</v>
      </c>
      <c r="G167" s="103">
        <f ca="1">G166*AVERAGE(G51,F51)</f>
        <v>4744.4371106301642</v>
      </c>
      <c r="H167" s="103">
        <f t="shared" ref="H167:K167" ca="1" si="224">H166*AVERAGE(H51,G51)</f>
        <v>4090.2133392642463</v>
      </c>
      <c r="I167" s="103">
        <f ca="1">I166*AVERAGE(I51,H51)</f>
        <v>3592.0870665129901</v>
      </c>
      <c r="J167" s="103">
        <f t="shared" ca="1" si="224"/>
        <v>3202.4518196139029</v>
      </c>
      <c r="K167" s="103">
        <f t="shared" ca="1" si="224"/>
        <v>2920.5157987643065</v>
      </c>
      <c r="L167" s="103">
        <f t="shared" ref="L167" ca="1" si="225">L166*AVERAGE(L51,K51)</f>
        <v>2755.3112337606708</v>
      </c>
      <c r="M167" s="103">
        <f t="shared" ref="M167" ca="1" si="226">M166*AVERAGE(M51,L51)</f>
        <v>2717.4480244932665</v>
      </c>
      <c r="N167" s="103">
        <f t="shared" ref="N167" ca="1" si="227">N166*AVERAGE(N51,M51)</f>
        <v>2817.798506335906</v>
      </c>
    </row>
  </sheetData>
  <mergeCells count="1">
    <mergeCell ref="C1:N6"/>
  </mergeCells>
  <conditionalFormatting sqref="C45">
    <cfRule type="expression" dxfId="1" priority="1">
      <formula>#REF!=$C45</formula>
    </cfRule>
  </conditionalFormatting>
  <dataValidations count="2">
    <dataValidation type="list" allowBlank="1" showInputMessage="1" showErrorMessage="1" sqref="C9" xr:uid="{FC63A92D-608D-439F-82DF-3DD6DE7B145A}">
      <formula1>"$ bns except per share, $ mm except per share,$ in thousands except per share"</formula1>
    </dataValidation>
    <dataValidation type="list" allowBlank="1" showInputMessage="1" showErrorMessage="1" sqref="D13" xr:uid="{1FDC75D7-4586-4D3E-971A-1D51B5862394}">
      <formula1>"0,1"</formula1>
    </dataValidation>
  </dataValidations>
  <pageMargins left="0.7" right="0.7" top="0.75" bottom="0.75" header="0.3" footer="0.3"/>
  <pageSetup scale="23"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53C0F-3698-0647-9F8C-BD5A1323E6BA}">
  <dimension ref="A1:B159"/>
  <sheetViews>
    <sheetView workbookViewId="0">
      <selection sqref="A1:B3"/>
    </sheetView>
  </sheetViews>
  <sheetFormatPr baseColWidth="10" defaultRowHeight="15"/>
  <cols>
    <col min="1" max="1" width="52.83203125" bestFit="1" customWidth="1"/>
    <col min="2" max="2" width="74.5" bestFit="1" customWidth="1"/>
  </cols>
  <sheetData>
    <row r="1" spans="1:2">
      <c r="A1" s="127" t="s">
        <v>166</v>
      </c>
      <c r="B1" s="128"/>
    </row>
    <row r="2" spans="1:2">
      <c r="A2" s="128"/>
      <c r="B2" s="128"/>
    </row>
    <row r="3" spans="1:2" ht="16" thickBot="1">
      <c r="A3" s="129"/>
      <c r="B3" s="129"/>
    </row>
    <row r="4" spans="1:2" ht="16" thickBot="1">
      <c r="A4" s="121" t="str">
        <f>"Financial Statement Model for "&amp;B7</f>
        <v>Financial Statement Model for Apple</v>
      </c>
      <c r="B4" s="122"/>
    </row>
    <row r="5" spans="1:2">
      <c r="A5" s="2" t="s">
        <v>45</v>
      </c>
      <c r="B5" s="39"/>
    </row>
    <row r="7" spans="1:2">
      <c r="A7" s="1" t="s">
        <v>5</v>
      </c>
      <c r="B7" s="57" t="s">
        <v>49</v>
      </c>
    </row>
    <row r="8" spans="1:2">
      <c r="A8" s="1" t="s">
        <v>6</v>
      </c>
      <c r="B8" s="57" t="s">
        <v>50</v>
      </c>
    </row>
    <row r="9" spans="1:2">
      <c r="A9" s="123" t="s">
        <v>19</v>
      </c>
    </row>
    <row r="10" spans="1:2">
      <c r="A10" t="s">
        <v>10</v>
      </c>
    </row>
    <row r="11" spans="1:2">
      <c r="A11" s="9" t="s">
        <v>7</v>
      </c>
      <c r="B11" s="44" t="s">
        <v>163</v>
      </c>
    </row>
    <row r="12" spans="1:2">
      <c r="A12" s="11"/>
    </row>
    <row r="13" spans="1:2">
      <c r="A13" t="s">
        <v>11</v>
      </c>
      <c r="B13" t="s">
        <v>75</v>
      </c>
    </row>
    <row r="14" spans="1:2">
      <c r="A14" t="s">
        <v>14</v>
      </c>
      <c r="B14" t="s">
        <v>76</v>
      </c>
    </row>
    <row r="15" spans="1:2">
      <c r="A15" s="15" t="s">
        <v>13</v>
      </c>
      <c r="B15" s="47" t="s">
        <v>77</v>
      </c>
    </row>
    <row r="16" spans="1:2">
      <c r="A16" t="s">
        <v>51</v>
      </c>
      <c r="B16" s="47" t="s">
        <v>152</v>
      </c>
    </row>
    <row r="17" spans="1:2">
      <c r="A17" t="s">
        <v>16</v>
      </c>
      <c r="B17" s="47" t="s">
        <v>154</v>
      </c>
    </row>
    <row r="18" spans="1:2">
      <c r="A18" s="15" t="s">
        <v>3</v>
      </c>
      <c r="B18" s="15" t="s">
        <v>78</v>
      </c>
    </row>
    <row r="19" spans="1:2">
      <c r="A19" t="s">
        <v>4</v>
      </c>
      <c r="B19" t="s">
        <v>82</v>
      </c>
    </row>
    <row r="20" spans="1:2">
      <c r="A20" t="s">
        <v>17</v>
      </c>
      <c r="B20" t="s">
        <v>81</v>
      </c>
    </row>
    <row r="21" spans="1:2">
      <c r="A21" t="s">
        <v>52</v>
      </c>
      <c r="B21" t="s">
        <v>159</v>
      </c>
    </row>
    <row r="22" spans="1:2">
      <c r="A22" s="15" t="s">
        <v>12</v>
      </c>
      <c r="B22" s="15" t="s">
        <v>83</v>
      </c>
    </row>
    <row r="23" spans="1:2">
      <c r="A23" t="s">
        <v>15</v>
      </c>
      <c r="B23" t="s">
        <v>79</v>
      </c>
    </row>
    <row r="24" spans="1:2">
      <c r="A24" s="15" t="s">
        <v>2</v>
      </c>
      <c r="B24" s="15" t="s">
        <v>80</v>
      </c>
    </row>
    <row r="25" spans="1:2">
      <c r="A25" s="19"/>
    </row>
    <row r="26" spans="1:2">
      <c r="A26" s="27" t="s">
        <v>48</v>
      </c>
      <c r="B26" t="s">
        <v>126</v>
      </c>
    </row>
    <row r="27" spans="1:2">
      <c r="A27" s="26" t="s">
        <v>46</v>
      </c>
      <c r="B27" s="15" t="s">
        <v>84</v>
      </c>
    </row>
    <row r="28" spans="1:2">
      <c r="A28" s="27" t="s">
        <v>73</v>
      </c>
      <c r="B28" t="s">
        <v>86</v>
      </c>
    </row>
    <row r="29" spans="1:2">
      <c r="A29" s="26" t="s">
        <v>71</v>
      </c>
      <c r="B29" s="15" t="s">
        <v>85</v>
      </c>
    </row>
    <row r="30" spans="1:2">
      <c r="A30" s="19"/>
    </row>
    <row r="31" spans="1:2">
      <c r="A31" s="18" t="s">
        <v>18</v>
      </c>
    </row>
    <row r="32" spans="1:2">
      <c r="A32" s="19" t="s">
        <v>1</v>
      </c>
      <c r="B32" t="s">
        <v>118</v>
      </c>
    </row>
    <row r="33" spans="1:2">
      <c r="A33" s="19" t="s">
        <v>150</v>
      </c>
      <c r="B33" t="s">
        <v>119</v>
      </c>
    </row>
    <row r="34" spans="1:2">
      <c r="A34" s="19" t="s">
        <v>151</v>
      </c>
      <c r="B34" t="s">
        <v>120</v>
      </c>
    </row>
    <row r="35" spans="1:2">
      <c r="A35" s="19" t="s">
        <v>153</v>
      </c>
      <c r="B35" t="s">
        <v>120</v>
      </c>
    </row>
    <row r="36" spans="1:2">
      <c r="A36" s="19" t="s">
        <v>0</v>
      </c>
      <c r="B36" t="s">
        <v>120</v>
      </c>
    </row>
    <row r="37" spans="1:2">
      <c r="A37" s="19"/>
    </row>
    <row r="38" spans="1:2">
      <c r="A38" s="123" t="s">
        <v>20</v>
      </c>
    </row>
    <row r="39" spans="1:2">
      <c r="A39" s="25" t="str">
        <f>A10</f>
        <v xml:space="preserve">Fiscal year  </v>
      </c>
    </row>
    <row r="40" spans="1:2">
      <c r="A40" s="6" t="str">
        <f>A11</f>
        <v>Fiscal year end date</v>
      </c>
    </row>
    <row r="41" spans="1:2">
      <c r="A41" t="s">
        <v>117</v>
      </c>
      <c r="B41" t="s">
        <v>105</v>
      </c>
    </row>
    <row r="42" spans="1:2">
      <c r="A42" t="s">
        <v>53</v>
      </c>
      <c r="B42" t="s">
        <v>90</v>
      </c>
    </row>
    <row r="43" spans="1:2">
      <c r="A43" t="s">
        <v>54</v>
      </c>
      <c r="B43" t="s">
        <v>91</v>
      </c>
    </row>
    <row r="44" spans="1:2">
      <c r="A44" t="s">
        <v>95</v>
      </c>
      <c r="B44" t="s">
        <v>90</v>
      </c>
    </row>
    <row r="45" spans="1:2">
      <c r="A45" t="s">
        <v>21</v>
      </c>
      <c r="B45" t="s">
        <v>92</v>
      </c>
    </row>
    <row r="46" spans="1:2">
      <c r="A46" t="s">
        <v>55</v>
      </c>
      <c r="B46" t="s">
        <v>90</v>
      </c>
    </row>
    <row r="47" spans="1:2">
      <c r="A47" s="26" t="s">
        <v>22</v>
      </c>
    </row>
    <row r="48" spans="1:2">
      <c r="A48" s="27"/>
    </row>
    <row r="49" spans="1:2">
      <c r="A49" s="27" t="s">
        <v>56</v>
      </c>
      <c r="B49" t="s">
        <v>91</v>
      </c>
    </row>
    <row r="50" spans="1:2">
      <c r="A50" s="27" t="s">
        <v>104</v>
      </c>
      <c r="B50" t="s">
        <v>90</v>
      </c>
    </row>
    <row r="51" spans="1:2">
      <c r="A51" s="27" t="s">
        <v>57</v>
      </c>
      <c r="B51" t="s">
        <v>90</v>
      </c>
    </row>
    <row r="52" spans="1:2">
      <c r="A52" s="27" t="s">
        <v>59</v>
      </c>
      <c r="B52" t="s">
        <v>93</v>
      </c>
    </row>
    <row r="53" spans="1:2">
      <c r="A53" s="27" t="s">
        <v>108</v>
      </c>
      <c r="B53" t="s">
        <v>87</v>
      </c>
    </row>
    <row r="54" spans="1:2">
      <c r="A54" s="27" t="s">
        <v>58</v>
      </c>
      <c r="B54" t="s">
        <v>90</v>
      </c>
    </row>
    <row r="55" spans="1:2">
      <c r="A55" s="26" t="s">
        <v>24</v>
      </c>
    </row>
    <row r="56" spans="1:2">
      <c r="A56" s="26"/>
    </row>
    <row r="57" spans="1:2">
      <c r="A57" s="27" t="s">
        <v>60</v>
      </c>
      <c r="B57" t="s">
        <v>122</v>
      </c>
    </row>
    <row r="58" spans="1:2">
      <c r="A58" s="27" t="s">
        <v>43</v>
      </c>
      <c r="B58" t="s">
        <v>94</v>
      </c>
    </row>
    <row r="59" spans="1:2">
      <c r="A59" s="27" t="s">
        <v>107</v>
      </c>
      <c r="B59" t="s">
        <v>87</v>
      </c>
    </row>
    <row r="60" spans="1:2">
      <c r="A60" s="26" t="s">
        <v>25</v>
      </c>
    </row>
    <row r="62" spans="1:2">
      <c r="A62" s="11" t="s">
        <v>26</v>
      </c>
    </row>
    <row r="64" spans="1:2">
      <c r="A64" s="123" t="s">
        <v>32</v>
      </c>
    </row>
    <row r="65" spans="1:2">
      <c r="A65" s="25" t="str">
        <f>A10</f>
        <v xml:space="preserve">Fiscal year  </v>
      </c>
    </row>
    <row r="66" spans="1:2">
      <c r="A66" s="6" t="str">
        <f>A11</f>
        <v>Fiscal year end date</v>
      </c>
    </row>
    <row r="68" spans="1:2">
      <c r="A68" t="s">
        <v>2</v>
      </c>
      <c r="B68" s="15"/>
    </row>
    <row r="69" spans="1:2">
      <c r="A69" t="s">
        <v>33</v>
      </c>
    </row>
    <row r="70" spans="1:2">
      <c r="A70" t="s">
        <v>73</v>
      </c>
    </row>
    <row r="71" spans="1:2">
      <c r="A71" t="s">
        <v>64</v>
      </c>
    </row>
    <row r="72" spans="1:2">
      <c r="A72" t="s">
        <v>65</v>
      </c>
    </row>
    <row r="73" spans="1:2">
      <c r="A73" t="s">
        <v>55</v>
      </c>
      <c r="B73" t="s">
        <v>112</v>
      </c>
    </row>
    <row r="74" spans="1:2">
      <c r="A74" t="s">
        <v>58</v>
      </c>
      <c r="B74" s="15"/>
    </row>
    <row r="75" spans="1:2">
      <c r="A75" s="15" t="s">
        <v>34</v>
      </c>
    </row>
    <row r="77" spans="1:2">
      <c r="A77" t="s">
        <v>35</v>
      </c>
    </row>
    <row r="78" spans="1:2">
      <c r="A78" s="15" t="s">
        <v>36</v>
      </c>
    </row>
    <row r="80" spans="1:2">
      <c r="A80" t="s">
        <v>66</v>
      </c>
    </row>
    <row r="81" spans="1:2">
      <c r="A81" t="s">
        <v>23</v>
      </c>
    </row>
    <row r="82" spans="1:2">
      <c r="A82" t="s">
        <v>69</v>
      </c>
    </row>
    <row r="83" spans="1:2">
      <c r="A83" t="s">
        <v>70</v>
      </c>
    </row>
    <row r="84" spans="1:2">
      <c r="A84" s="15" t="s">
        <v>37</v>
      </c>
    </row>
    <row r="86" spans="1:2">
      <c r="A86" s="15" t="s">
        <v>38</v>
      </c>
    </row>
    <row r="87" spans="1:2">
      <c r="A87" s="15"/>
    </row>
    <row r="88" spans="1:2">
      <c r="A88" s="125" t="s">
        <v>164</v>
      </c>
    </row>
    <row r="90" spans="1:2">
      <c r="A90" s="5" t="s">
        <v>29</v>
      </c>
    </row>
    <row r="91" spans="1:2">
      <c r="A91" s="25" t="str">
        <f t="shared" ref="A91:A92" si="0">A10</f>
        <v xml:space="preserve">Fiscal year  </v>
      </c>
    </row>
    <row r="92" spans="1:2">
      <c r="A92" s="6" t="str">
        <f t="shared" si="0"/>
        <v>Fiscal year end date</v>
      </c>
    </row>
    <row r="93" spans="1:2">
      <c r="A93" s="15"/>
    </row>
    <row r="94" spans="1:2">
      <c r="A94" s="27" t="s">
        <v>27</v>
      </c>
      <c r="B94" t="s">
        <v>134</v>
      </c>
    </row>
    <row r="95" spans="1:2">
      <c r="A95" s="30" t="s">
        <v>30</v>
      </c>
      <c r="B95" t="s">
        <v>121</v>
      </c>
    </row>
    <row r="96" spans="1:2">
      <c r="A96" s="54" t="s">
        <v>31</v>
      </c>
      <c r="B96" t="s">
        <v>133</v>
      </c>
    </row>
    <row r="97" spans="1:2">
      <c r="A97" s="34" t="s">
        <v>28</v>
      </c>
      <c r="B97" t="s">
        <v>132</v>
      </c>
    </row>
    <row r="98" spans="1:2">
      <c r="A98" s="27"/>
      <c r="B98" s="18" t="s">
        <v>47</v>
      </c>
    </row>
    <row r="99" spans="1:2">
      <c r="A99" s="27" t="s">
        <v>109</v>
      </c>
      <c r="B99" s="124">
        <v>0.02</v>
      </c>
    </row>
    <row r="100" spans="1:2">
      <c r="A100" s="27"/>
    </row>
    <row r="101" spans="1:2">
      <c r="A101" s="70" t="s">
        <v>114</v>
      </c>
    </row>
    <row r="102" spans="1:2">
      <c r="A102" s="27" t="s">
        <v>123</v>
      </c>
      <c r="B102" t="s">
        <v>156</v>
      </c>
    </row>
    <row r="103" spans="1:2">
      <c r="A103" s="19" t="s">
        <v>124</v>
      </c>
      <c r="B103" t="s">
        <v>125</v>
      </c>
    </row>
    <row r="104" spans="1:2">
      <c r="A104" s="26" t="s">
        <v>97</v>
      </c>
      <c r="B104" t="s">
        <v>127</v>
      </c>
    </row>
    <row r="106" spans="1:2">
      <c r="A106" s="40" t="s">
        <v>113</v>
      </c>
    </row>
    <row r="107" spans="1:2">
      <c r="A107" s="27" t="s">
        <v>27</v>
      </c>
      <c r="B107" t="s">
        <v>134</v>
      </c>
    </row>
    <row r="108" spans="1:2">
      <c r="A108" s="19" t="s">
        <v>128</v>
      </c>
      <c r="B108" t="s">
        <v>129</v>
      </c>
    </row>
    <row r="109" spans="1:2">
      <c r="A109" s="55" t="s">
        <v>110</v>
      </c>
      <c r="B109" t="s">
        <v>135</v>
      </c>
    </row>
    <row r="110" spans="1:2">
      <c r="A110" s="34" t="s">
        <v>28</v>
      </c>
      <c r="B110" t="s">
        <v>136</v>
      </c>
    </row>
    <row r="111" spans="1:2">
      <c r="A111" s="19"/>
    </row>
    <row r="112" spans="1:2">
      <c r="A112" s="41" t="s">
        <v>74</v>
      </c>
    </row>
    <row r="113" spans="1:2">
      <c r="A113" s="27" t="s">
        <v>27</v>
      </c>
      <c r="B113" t="s">
        <v>134</v>
      </c>
    </row>
    <row r="114" spans="1:2">
      <c r="A114" s="19" t="s">
        <v>61</v>
      </c>
      <c r="B114" t="s">
        <v>88</v>
      </c>
    </row>
    <row r="115" spans="1:2">
      <c r="A115" s="19" t="s">
        <v>62</v>
      </c>
      <c r="B115" t="s">
        <v>130</v>
      </c>
    </row>
    <row r="116" spans="1:2">
      <c r="A116" s="55" t="s">
        <v>63</v>
      </c>
      <c r="B116" t="s">
        <v>155</v>
      </c>
    </row>
    <row r="117" spans="1:2">
      <c r="A117" s="34" t="s">
        <v>28</v>
      </c>
      <c r="B117" t="s">
        <v>131</v>
      </c>
    </row>
    <row r="118" spans="1:2">
      <c r="A118" s="34"/>
    </row>
    <row r="119" spans="1:2" ht="112">
      <c r="A119" s="81" t="s">
        <v>162</v>
      </c>
    </row>
    <row r="120" spans="1:2">
      <c r="A120" s="19" t="s">
        <v>160</v>
      </c>
    </row>
    <row r="121" spans="1:2">
      <c r="A121" s="19" t="s">
        <v>161</v>
      </c>
    </row>
    <row r="123" spans="1:2">
      <c r="A123" s="5" t="s">
        <v>115</v>
      </c>
    </row>
    <row r="124" spans="1:2">
      <c r="A124" s="25" t="str">
        <f>A10</f>
        <v xml:space="preserve">Fiscal year  </v>
      </c>
    </row>
    <row r="125" spans="1:2">
      <c r="A125" s="6" t="str">
        <f>A11</f>
        <v>Fiscal year end date</v>
      </c>
    </row>
    <row r="126" spans="1:2">
      <c r="A126" s="15"/>
    </row>
    <row r="127" spans="1:2">
      <c r="A127" s="18" t="s">
        <v>39</v>
      </c>
    </row>
    <row r="128" spans="1:2">
      <c r="A128" s="19" t="s">
        <v>44</v>
      </c>
      <c r="B128" t="s">
        <v>137</v>
      </c>
    </row>
    <row r="129" spans="1:2">
      <c r="A129" s="19" t="s">
        <v>68</v>
      </c>
      <c r="B129" t="s">
        <v>111</v>
      </c>
    </row>
    <row r="130" spans="1:2">
      <c r="A130" s="55" t="s">
        <v>138</v>
      </c>
      <c r="B130" t="s">
        <v>139</v>
      </c>
    </row>
    <row r="131" spans="1:2">
      <c r="A131" s="34" t="s">
        <v>89</v>
      </c>
    </row>
    <row r="132" spans="1:2">
      <c r="A132" s="34"/>
    </row>
    <row r="134" spans="1:2">
      <c r="A134" s="15" t="s">
        <v>100</v>
      </c>
    </row>
    <row r="135" spans="1:2">
      <c r="A135" s="19" t="s">
        <v>27</v>
      </c>
      <c r="B135" t="s">
        <v>134</v>
      </c>
    </row>
    <row r="136" spans="1:2">
      <c r="A136" s="30" t="s">
        <v>140</v>
      </c>
      <c r="B136" t="s">
        <v>143</v>
      </c>
    </row>
    <row r="137" spans="1:2">
      <c r="A137" s="54" t="s">
        <v>141</v>
      </c>
      <c r="B137" t="s">
        <v>111</v>
      </c>
    </row>
    <row r="138" spans="1:2">
      <c r="A138" s="73" t="s">
        <v>28</v>
      </c>
    </row>
    <row r="139" spans="1:2">
      <c r="A139" s="62" t="s">
        <v>106</v>
      </c>
    </row>
    <row r="141" spans="1:2">
      <c r="A141" s="5" t="s">
        <v>42</v>
      </c>
    </row>
    <row r="142" spans="1:2">
      <c r="A142" s="25" t="str">
        <f>A10</f>
        <v xml:space="preserve">Fiscal year  </v>
      </c>
    </row>
    <row r="143" spans="1:2">
      <c r="A143" s="6" t="str">
        <f>A11</f>
        <v>Fiscal year end date</v>
      </c>
    </row>
    <row r="144" spans="1:2">
      <c r="A144" s="19"/>
    </row>
    <row r="145" spans="1:2">
      <c r="A145" s="27" t="s">
        <v>146</v>
      </c>
      <c r="B145" t="s">
        <v>142</v>
      </c>
    </row>
    <row r="146" spans="1:2">
      <c r="A146" s="38"/>
    </row>
    <row r="147" spans="1:2">
      <c r="A147" s="50" t="s">
        <v>67</v>
      </c>
    </row>
    <row r="148" spans="1:2">
      <c r="A148" s="19" t="s">
        <v>98</v>
      </c>
      <c r="B148" t="s">
        <v>116</v>
      </c>
    </row>
    <row r="149" spans="1:2">
      <c r="A149" s="19" t="s">
        <v>99</v>
      </c>
      <c r="B149" t="s">
        <v>145</v>
      </c>
    </row>
    <row r="150" spans="1:2">
      <c r="A150" s="75" t="s">
        <v>40</v>
      </c>
      <c r="B150" t="s">
        <v>144</v>
      </c>
    </row>
    <row r="151" spans="1:2">
      <c r="A151" s="43"/>
    </row>
    <row r="152" spans="1:2">
      <c r="A152" s="50" t="s">
        <v>66</v>
      </c>
    </row>
    <row r="153" spans="1:2">
      <c r="A153" s="19" t="s">
        <v>99</v>
      </c>
      <c r="B153" t="s">
        <v>147</v>
      </c>
    </row>
    <row r="154" spans="1:2">
      <c r="A154" s="19" t="s">
        <v>98</v>
      </c>
      <c r="B154" t="s">
        <v>116</v>
      </c>
    </row>
    <row r="155" spans="1:2">
      <c r="A155" s="34" t="s">
        <v>149</v>
      </c>
      <c r="B155" t="s">
        <v>101</v>
      </c>
    </row>
    <row r="156" spans="1:2">
      <c r="A156" s="34"/>
    </row>
    <row r="157" spans="1:2">
      <c r="A157" s="38" t="s">
        <v>41</v>
      </c>
    </row>
    <row r="158" spans="1:2">
      <c r="A158" s="19" t="s">
        <v>102</v>
      </c>
      <c r="B158" t="s">
        <v>116</v>
      </c>
    </row>
    <row r="159" spans="1:2">
      <c r="A159" s="19" t="s">
        <v>4</v>
      </c>
      <c r="B159" t="s">
        <v>148</v>
      </c>
    </row>
  </sheetData>
  <mergeCells count="1">
    <mergeCell ref="A1:B3"/>
  </mergeCells>
  <conditionalFormatting sqref="A35">
    <cfRule type="expression" dxfId="0" priority="1">
      <formula>#REF!=$C35</formula>
    </cfRule>
  </conditionalFormatting>
  <dataValidations count="1">
    <dataValidation type="list" allowBlank="1" showInputMessage="1" showErrorMessage="1" sqref="A5" xr:uid="{4FF9CEEB-04AC-D747-9F3C-B1E6CAAF2164}">
      <formula1>"$ bns except per share, $ mm except per share,$ in thousands except per share"</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3 Statement Model</vt:lpstr>
      <vt:lpstr>Apple Forecasting</vt:lpstr>
      <vt:lpstr>Assumptions &amp; Comments</vt:lpstr>
      <vt:lpstr>'Apple Forecasting'!Print_Area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 Street Prep</dc:creator>
  <cp:lastModifiedBy>Jahanvi Patel</cp:lastModifiedBy>
  <cp:lastPrinted>2014-05-21T15:17:24Z</cp:lastPrinted>
  <dcterms:created xsi:type="dcterms:W3CDTF">2011-11-04T21:28:06Z</dcterms:created>
  <dcterms:modified xsi:type="dcterms:W3CDTF">2025-10-18T15:43:53Z</dcterms:modified>
</cp:coreProperties>
</file>