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anvidpatel/Documents/Additonal_Courses&amp;Certification/WSP/CorporateFinance_WSP/2. Building_OperatingModel/CFPAM2_Downloads/"/>
    </mc:Choice>
  </mc:AlternateContent>
  <xr:revisionPtr revIDLastSave="0" documentId="8_{A460E3CA-F9E3-5E4D-9D57-B666B130A534}" xr6:coauthVersionLast="47" xr6:coauthVersionMax="47" xr10:uidLastSave="{00000000-0000-0000-0000-000000000000}"/>
  <bookViews>
    <workbookView xWindow="0" yWindow="0" windowWidth="28800" windowHeight="18000" xr2:uid="{154FFD2E-7E67-894D-902E-35241B22477F}"/>
  </bookViews>
  <sheets>
    <sheet name="Expense" sheetId="1" r:id="rId1"/>
  </sheets>
  <externalReferences>
    <externalReference r:id="rId2"/>
    <externalReference r:id="rId3"/>
  </externalReferences>
  <definedNames>
    <definedName name="data_array">OFFSET(#REF!,0,0,COUNTA(#REF!),1)</definedName>
    <definedName name="data_array_old">OFFSET(#REF!,0,0,COUNTA(#REF!),1)</definedName>
    <definedName name="data_lookup">OFFSET(#REF!,0,0,COUNTA(#REF!),1)</definedName>
    <definedName name="scenario_options">'[2]Long-Range-Plan'!$H$10:$L$10</definedName>
    <definedName name="selected_scenario">'[2]Long-Range-Plan'!$F$10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9" i="1" l="1"/>
  <c r="Q180" i="1" s="1"/>
  <c r="P179" i="1"/>
  <c r="O179" i="1"/>
  <c r="N179" i="1"/>
  <c r="M179" i="1"/>
  <c r="L179" i="1"/>
  <c r="K179" i="1"/>
  <c r="J179" i="1"/>
  <c r="I179" i="1"/>
  <c r="H179" i="1"/>
  <c r="G179" i="1"/>
  <c r="F179" i="1"/>
  <c r="E179" i="1"/>
  <c r="AB175" i="1"/>
  <c r="AA175" i="1"/>
  <c r="U175" i="1"/>
  <c r="T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B173" i="1"/>
  <c r="AA173" i="1"/>
  <c r="T173" i="1"/>
  <c r="S173" i="1"/>
  <c r="S175" i="1" s="1"/>
  <c r="AH172" i="1"/>
  <c r="AH173" i="1" s="1"/>
  <c r="AH175" i="1" s="1"/>
  <c r="AG172" i="1"/>
  <c r="AG173" i="1" s="1"/>
  <c r="AF172" i="1"/>
  <c r="AF173" i="1" s="1"/>
  <c r="AE172" i="1"/>
  <c r="AE173" i="1" s="1"/>
  <c r="AD172" i="1"/>
  <c r="AD173" i="1" s="1"/>
  <c r="AC172" i="1"/>
  <c r="AC173" i="1" s="1"/>
  <c r="AB172" i="1"/>
  <c r="AA172" i="1"/>
  <c r="Z172" i="1"/>
  <c r="Z173" i="1" s="1"/>
  <c r="Z175" i="1" s="1"/>
  <c r="Y172" i="1"/>
  <c r="Y173" i="1" s="1"/>
  <c r="X172" i="1"/>
  <c r="X173" i="1" s="1"/>
  <c r="W172" i="1"/>
  <c r="W173" i="1" s="1"/>
  <c r="V172" i="1"/>
  <c r="V173" i="1" s="1"/>
  <c r="U172" i="1"/>
  <c r="U173" i="1" s="1"/>
  <c r="T172" i="1"/>
  <c r="S172" i="1"/>
  <c r="R172" i="1"/>
  <c r="R173" i="1" s="1"/>
  <c r="R175" i="1" s="1"/>
  <c r="Q172" i="1"/>
  <c r="Q173" i="1" s="1"/>
  <c r="P172" i="1"/>
  <c r="O172" i="1"/>
  <c r="N172" i="1"/>
  <c r="M172" i="1"/>
  <c r="L172" i="1"/>
  <c r="K172" i="1"/>
  <c r="J172" i="1"/>
  <c r="I172" i="1"/>
  <c r="H172" i="1"/>
  <c r="G172" i="1"/>
  <c r="F172" i="1"/>
  <c r="E172" i="1"/>
  <c r="AE168" i="1"/>
  <c r="AD168" i="1"/>
  <c r="AC168" i="1"/>
  <c r="AA168" i="1"/>
  <c r="W168" i="1"/>
  <c r="V168" i="1"/>
  <c r="U168" i="1"/>
  <c r="S168" i="1"/>
  <c r="AH167" i="1"/>
  <c r="AH168" i="1" s="1"/>
  <c r="AG167" i="1"/>
  <c r="AG168" i="1" s="1"/>
  <c r="AF167" i="1"/>
  <c r="AF168" i="1" s="1"/>
  <c r="AE167" i="1"/>
  <c r="AD167" i="1"/>
  <c r="AC167" i="1"/>
  <c r="AB167" i="1"/>
  <c r="AB168" i="1" s="1"/>
  <c r="AA167" i="1"/>
  <c r="Z167" i="1"/>
  <c r="Z168" i="1" s="1"/>
  <c r="Y167" i="1"/>
  <c r="Y168" i="1" s="1"/>
  <c r="X167" i="1"/>
  <c r="X168" i="1" s="1"/>
  <c r="W167" i="1"/>
  <c r="V167" i="1"/>
  <c r="U167" i="1"/>
  <c r="T167" i="1"/>
  <c r="T168" i="1" s="1"/>
  <c r="S167" i="1"/>
  <c r="R167" i="1"/>
  <c r="R168" i="1" s="1"/>
  <c r="Q167" i="1"/>
  <c r="Q168" i="1" s="1"/>
  <c r="P167" i="1"/>
  <c r="O167" i="1"/>
  <c r="N167" i="1"/>
  <c r="M167" i="1"/>
  <c r="L167" i="1"/>
  <c r="K167" i="1"/>
  <c r="J167" i="1"/>
  <c r="I167" i="1"/>
  <c r="H167" i="1"/>
  <c r="G167" i="1"/>
  <c r="F167" i="1"/>
  <c r="E167" i="1"/>
  <c r="O162" i="1"/>
  <c r="N162" i="1"/>
  <c r="M162" i="1"/>
  <c r="G162" i="1"/>
  <c r="F162" i="1"/>
  <c r="E162" i="1"/>
  <c r="AI161" i="1"/>
  <c r="P161" i="1"/>
  <c r="P162" i="1" s="1"/>
  <c r="O161" i="1"/>
  <c r="N161" i="1"/>
  <c r="M161" i="1"/>
  <c r="L161" i="1"/>
  <c r="L162" i="1" s="1"/>
  <c r="K161" i="1"/>
  <c r="K162" i="1" s="1"/>
  <c r="J161" i="1"/>
  <c r="J162" i="1" s="1"/>
  <c r="I161" i="1"/>
  <c r="I162" i="1" s="1"/>
  <c r="H161" i="1"/>
  <c r="H162" i="1" s="1"/>
  <c r="G161" i="1"/>
  <c r="F161" i="1"/>
  <c r="E161" i="1"/>
  <c r="AC158" i="1"/>
  <c r="AC159" i="1" s="1"/>
  <c r="AB158" i="1"/>
  <c r="AB159" i="1" s="1"/>
  <c r="P158" i="1"/>
  <c r="O158" i="1"/>
  <c r="N158" i="1"/>
  <c r="M158" i="1"/>
  <c r="T158" i="1" s="1"/>
  <c r="T159" i="1" s="1"/>
  <c r="L158" i="1"/>
  <c r="K158" i="1"/>
  <c r="J158" i="1"/>
  <c r="I158" i="1"/>
  <c r="H158" i="1"/>
  <c r="G158" i="1"/>
  <c r="F158" i="1"/>
  <c r="E158" i="1"/>
  <c r="V153" i="1"/>
  <c r="V154" i="1" s="1"/>
  <c r="P153" i="1"/>
  <c r="O153" i="1"/>
  <c r="N153" i="1"/>
  <c r="M153" i="1"/>
  <c r="L153" i="1"/>
  <c r="K153" i="1"/>
  <c r="AG153" i="1" s="1"/>
  <c r="AG154" i="1" s="1"/>
  <c r="J153" i="1"/>
  <c r="I153" i="1"/>
  <c r="H153" i="1"/>
  <c r="G153" i="1"/>
  <c r="F153" i="1"/>
  <c r="E153" i="1"/>
  <c r="S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S148" i="1"/>
  <c r="T148" i="1" s="1"/>
  <c r="R148" i="1"/>
  <c r="R149" i="1" s="1"/>
  <c r="AH144" i="1"/>
  <c r="AE144" i="1"/>
  <c r="AC144" i="1"/>
  <c r="AB144" i="1"/>
  <c r="AB143" i="1" s="1"/>
  <c r="AA144" i="1"/>
  <c r="Z144" i="1"/>
  <c r="Z143" i="1" s="1"/>
  <c r="Y144" i="1"/>
  <c r="X144" i="1"/>
  <c r="W144" i="1"/>
  <c r="V144" i="1"/>
  <c r="V143" i="1" s="1"/>
  <c r="U144" i="1"/>
  <c r="AG144" i="1" s="1"/>
  <c r="T144" i="1"/>
  <c r="S144" i="1"/>
  <c r="R144" i="1"/>
  <c r="Q144" i="1"/>
  <c r="AH143" i="1"/>
  <c r="AG143" i="1"/>
  <c r="AE143" i="1"/>
  <c r="AC143" i="1"/>
  <c r="AA143" i="1"/>
  <c r="Y143" i="1"/>
  <c r="X143" i="1"/>
  <c r="W143" i="1"/>
  <c r="U143" i="1"/>
  <c r="S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BA141" i="1"/>
  <c r="AZ141" i="1"/>
  <c r="BD140" i="1"/>
  <c r="BC140" i="1"/>
  <c r="BB140" i="1"/>
  <c r="BB141" i="1" s="1"/>
  <c r="P138" i="1"/>
  <c r="M138" i="1"/>
  <c r="K138" i="1"/>
  <c r="J138" i="1"/>
  <c r="I138" i="1"/>
  <c r="H138" i="1"/>
  <c r="E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O138" i="1" s="1"/>
  <c r="N137" i="1"/>
  <c r="N138" i="1" s="1"/>
  <c r="M137" i="1"/>
  <c r="L137" i="1"/>
  <c r="L138" i="1" s="1"/>
  <c r="K137" i="1"/>
  <c r="J137" i="1"/>
  <c r="I137" i="1"/>
  <c r="H137" i="1"/>
  <c r="G137" i="1"/>
  <c r="G138" i="1" s="1"/>
  <c r="F137" i="1"/>
  <c r="F138" i="1" s="1"/>
  <c r="E137" i="1"/>
  <c r="Q125" i="1"/>
  <c r="P125" i="1"/>
  <c r="N125" i="1"/>
  <c r="F125" i="1"/>
  <c r="AT122" i="1"/>
  <c r="AI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R119" i="1"/>
  <c r="Q119" i="1"/>
  <c r="G116" i="1"/>
  <c r="K115" i="1"/>
  <c r="J115" i="1"/>
  <c r="M114" i="1"/>
  <c r="H114" i="1"/>
  <c r="G114" i="1"/>
  <c r="F114" i="1"/>
  <c r="P111" i="1"/>
  <c r="Q111" i="1" s="1"/>
  <c r="O111" i="1"/>
  <c r="O116" i="1" s="1"/>
  <c r="N111" i="1"/>
  <c r="N116" i="1" s="1"/>
  <c r="M111" i="1"/>
  <c r="M116" i="1" s="1"/>
  <c r="L111" i="1"/>
  <c r="L116" i="1" s="1"/>
  <c r="K111" i="1"/>
  <c r="J111" i="1"/>
  <c r="I111" i="1"/>
  <c r="H111" i="1"/>
  <c r="H116" i="1" s="1"/>
  <c r="G111" i="1"/>
  <c r="F111" i="1"/>
  <c r="F116" i="1" s="1"/>
  <c r="E111" i="1"/>
  <c r="P110" i="1"/>
  <c r="Q110" i="1" s="1"/>
  <c r="Q120" i="1" s="1"/>
  <c r="O110" i="1"/>
  <c r="O115" i="1" s="1"/>
  <c r="N110" i="1"/>
  <c r="M110" i="1"/>
  <c r="M115" i="1" s="1"/>
  <c r="L110" i="1"/>
  <c r="L115" i="1" s="1"/>
  <c r="K110" i="1"/>
  <c r="J110" i="1"/>
  <c r="I110" i="1"/>
  <c r="I115" i="1" s="1"/>
  <c r="H110" i="1"/>
  <c r="H115" i="1" s="1"/>
  <c r="G110" i="1"/>
  <c r="G115" i="1" s="1"/>
  <c r="F110" i="1"/>
  <c r="E110" i="1"/>
  <c r="S109" i="1"/>
  <c r="P109" i="1"/>
  <c r="Q109" i="1" s="1"/>
  <c r="R109" i="1" s="1"/>
  <c r="O109" i="1"/>
  <c r="N109" i="1"/>
  <c r="O114" i="1" s="1"/>
  <c r="M109" i="1"/>
  <c r="N114" i="1" s="1"/>
  <c r="L109" i="1"/>
  <c r="K109" i="1"/>
  <c r="K114" i="1" s="1"/>
  <c r="J109" i="1"/>
  <c r="J114" i="1" s="1"/>
  <c r="I109" i="1"/>
  <c r="I114" i="1" s="1"/>
  <c r="H109" i="1"/>
  <c r="G109" i="1"/>
  <c r="F109" i="1"/>
  <c r="E109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J88" i="1"/>
  <c r="V88" i="1" s="1"/>
  <c r="I88" i="1"/>
  <c r="U88" i="1" s="1"/>
  <c r="M87" i="1"/>
  <c r="Y87" i="1" s="1"/>
  <c r="H85" i="1"/>
  <c r="T85" i="1" s="1"/>
  <c r="N84" i="1"/>
  <c r="Z84" i="1" s="1"/>
  <c r="M84" i="1"/>
  <c r="Y84" i="1" s="1"/>
  <c r="K81" i="1"/>
  <c r="K97" i="1" s="1"/>
  <c r="J81" i="1"/>
  <c r="J97" i="1" s="1"/>
  <c r="AE78" i="1"/>
  <c r="AE79" i="1" s="1"/>
  <c r="AD78" i="1"/>
  <c r="AD79" i="1" s="1"/>
  <c r="S78" i="1"/>
  <c r="S79" i="1" s="1"/>
  <c r="P78" i="1"/>
  <c r="O78" i="1"/>
  <c r="N78" i="1"/>
  <c r="M78" i="1"/>
  <c r="L78" i="1"/>
  <c r="K78" i="1"/>
  <c r="T78" i="1" s="1"/>
  <c r="T79" i="1" s="1"/>
  <c r="J78" i="1"/>
  <c r="I78" i="1"/>
  <c r="H78" i="1"/>
  <c r="G78" i="1"/>
  <c r="F78" i="1"/>
  <c r="E78" i="1"/>
  <c r="AG74" i="1"/>
  <c r="AB74" i="1"/>
  <c r="X74" i="1"/>
  <c r="R74" i="1"/>
  <c r="Q74" i="1"/>
  <c r="AG73" i="1"/>
  <c r="AB73" i="1"/>
  <c r="AA73" i="1"/>
  <c r="AA74" i="1" s="1"/>
  <c r="Z73" i="1"/>
  <c r="Z74" i="1" s="1"/>
  <c r="Z16" i="1" s="1"/>
  <c r="Y73" i="1"/>
  <c r="Y74" i="1" s="1"/>
  <c r="Y16" i="1" s="1"/>
  <c r="W73" i="1"/>
  <c r="W74" i="1" s="1"/>
  <c r="T73" i="1"/>
  <c r="AF73" i="1" s="1"/>
  <c r="AF74" i="1" s="1"/>
  <c r="R73" i="1"/>
  <c r="AD73" i="1" s="1"/>
  <c r="AD74" i="1" s="1"/>
  <c r="Q73" i="1"/>
  <c r="AC73" i="1" s="1"/>
  <c r="AC74" i="1" s="1"/>
  <c r="P73" i="1"/>
  <c r="O73" i="1"/>
  <c r="N73" i="1"/>
  <c r="M73" i="1"/>
  <c r="L73" i="1"/>
  <c r="X73" i="1" s="1"/>
  <c r="K73" i="1"/>
  <c r="J73" i="1"/>
  <c r="V73" i="1" s="1"/>
  <c r="V74" i="1" s="1"/>
  <c r="I73" i="1"/>
  <c r="U73" i="1" s="1"/>
  <c r="U74" i="1" s="1"/>
  <c r="H73" i="1"/>
  <c r="G73" i="1"/>
  <c r="S73" i="1" s="1"/>
  <c r="AE73" i="1" s="1"/>
  <c r="AE74" i="1" s="1"/>
  <c r="F73" i="1"/>
  <c r="E73" i="1"/>
  <c r="P69" i="1"/>
  <c r="P81" i="1" s="1"/>
  <c r="P97" i="1" s="1"/>
  <c r="O69" i="1"/>
  <c r="O81" i="1" s="1"/>
  <c r="O97" i="1" s="1"/>
  <c r="O86" i="1" s="1"/>
  <c r="AA86" i="1" s="1"/>
  <c r="N69" i="1"/>
  <c r="N81" i="1" s="1"/>
  <c r="N97" i="1" s="1"/>
  <c r="M69" i="1"/>
  <c r="M81" i="1" s="1"/>
  <c r="M97" i="1" s="1"/>
  <c r="L69" i="1"/>
  <c r="L81" i="1" s="1"/>
  <c r="L97" i="1" s="1"/>
  <c r="K69" i="1"/>
  <c r="J69" i="1"/>
  <c r="I69" i="1"/>
  <c r="I81" i="1" s="1"/>
  <c r="I97" i="1" s="1"/>
  <c r="H69" i="1"/>
  <c r="H81" i="1" s="1"/>
  <c r="H97" i="1" s="1"/>
  <c r="G69" i="1"/>
  <c r="G81" i="1" s="1"/>
  <c r="G97" i="1" s="1"/>
  <c r="F69" i="1"/>
  <c r="F81" i="1" s="1"/>
  <c r="F97" i="1" s="1"/>
  <c r="F86" i="1" s="1"/>
  <c r="R86" i="1" s="1"/>
  <c r="E69" i="1"/>
  <c r="E81" i="1" s="1"/>
  <c r="E97" i="1" s="1"/>
  <c r="V66" i="1"/>
  <c r="V67" i="1" s="1"/>
  <c r="P66" i="1"/>
  <c r="O66" i="1"/>
  <c r="N66" i="1"/>
  <c r="M66" i="1"/>
  <c r="L66" i="1"/>
  <c r="K66" i="1"/>
  <c r="J66" i="1"/>
  <c r="I66" i="1"/>
  <c r="H66" i="1"/>
  <c r="G66" i="1"/>
  <c r="F66" i="1"/>
  <c r="E66" i="1"/>
  <c r="S63" i="1"/>
  <c r="R63" i="1"/>
  <c r="Q63" i="1"/>
  <c r="AE56" i="1"/>
  <c r="AD56" i="1"/>
  <c r="AD21" i="1" s="1"/>
  <c r="AC56" i="1"/>
  <c r="AC21" i="1" s="1"/>
  <c r="W56" i="1"/>
  <c r="V56" i="1"/>
  <c r="U56" i="1"/>
  <c r="O56" i="1"/>
  <c r="N56" i="1"/>
  <c r="M56" i="1"/>
  <c r="G56" i="1"/>
  <c r="F56" i="1"/>
  <c r="F21" i="1" s="1"/>
  <c r="E56" i="1"/>
  <c r="AH55" i="1"/>
  <c r="AH56" i="1" s="1"/>
  <c r="AG55" i="1"/>
  <c r="AG56" i="1" s="1"/>
  <c r="AF55" i="1"/>
  <c r="AF56" i="1" s="1"/>
  <c r="AE55" i="1"/>
  <c r="AD55" i="1"/>
  <c r="AC55" i="1"/>
  <c r="AB55" i="1"/>
  <c r="AB56" i="1" s="1"/>
  <c r="AB21" i="1" s="1"/>
  <c r="AA55" i="1"/>
  <c r="AA56" i="1" s="1"/>
  <c r="Z55" i="1"/>
  <c r="Z56" i="1" s="1"/>
  <c r="Y55" i="1"/>
  <c r="Y56" i="1" s="1"/>
  <c r="X55" i="1"/>
  <c r="X56" i="1" s="1"/>
  <c r="W55" i="1"/>
  <c r="V55" i="1"/>
  <c r="U55" i="1"/>
  <c r="T55" i="1"/>
  <c r="T56" i="1" s="1"/>
  <c r="T21" i="1" s="1"/>
  <c r="S55" i="1"/>
  <c r="S56" i="1" s="1"/>
  <c r="R55" i="1"/>
  <c r="R56" i="1" s="1"/>
  <c r="Q55" i="1"/>
  <c r="Q56" i="1" s="1"/>
  <c r="P55" i="1"/>
  <c r="P56" i="1" s="1"/>
  <c r="O55" i="1"/>
  <c r="N55" i="1"/>
  <c r="M55" i="1"/>
  <c r="L55" i="1"/>
  <c r="L56" i="1" s="1"/>
  <c r="L21" i="1" s="1"/>
  <c r="K55" i="1"/>
  <c r="K56" i="1" s="1"/>
  <c r="J55" i="1"/>
  <c r="J56" i="1" s="1"/>
  <c r="I55" i="1"/>
  <c r="I56" i="1" s="1"/>
  <c r="H55" i="1"/>
  <c r="H56" i="1" s="1"/>
  <c r="G55" i="1"/>
  <c r="F55" i="1"/>
  <c r="E55" i="1"/>
  <c r="E49" i="1"/>
  <c r="AI42" i="1"/>
  <c r="P42" i="1"/>
  <c r="M42" i="1"/>
  <c r="L42" i="1"/>
  <c r="K42" i="1"/>
  <c r="J42" i="1"/>
  <c r="P40" i="1"/>
  <c r="O40" i="1"/>
  <c r="O42" i="1" s="1"/>
  <c r="N40" i="1"/>
  <c r="N42" i="1" s="1"/>
  <c r="M40" i="1"/>
  <c r="L40" i="1"/>
  <c r="K40" i="1"/>
  <c r="J40" i="1"/>
  <c r="I40" i="1"/>
  <c r="I42" i="1" s="1"/>
  <c r="H40" i="1"/>
  <c r="H42" i="1" s="1"/>
  <c r="G40" i="1"/>
  <c r="G42" i="1" s="1"/>
  <c r="F40" i="1"/>
  <c r="F42" i="1" s="1"/>
  <c r="E40" i="1"/>
  <c r="E42" i="1" s="1"/>
  <c r="S39" i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Q39" i="1"/>
  <c r="R39" i="1" s="1"/>
  <c r="Q38" i="1"/>
  <c r="R38" i="1" s="1"/>
  <c r="S38" i="1" s="1"/>
  <c r="T38" i="1" s="1"/>
  <c r="U38" i="1" s="1"/>
  <c r="V38" i="1" s="1"/>
  <c r="W38" i="1" s="1"/>
  <c r="X37" i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R37" i="1"/>
  <c r="S37" i="1" s="1"/>
  <c r="T37" i="1" s="1"/>
  <c r="U37" i="1" s="1"/>
  <c r="V37" i="1" s="1"/>
  <c r="Q37" i="1"/>
  <c r="X36" i="1"/>
  <c r="R36" i="1"/>
  <c r="Q36" i="1"/>
  <c r="Q40" i="1" s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H28" i="1"/>
  <c r="AB28" i="1"/>
  <c r="AA28" i="1"/>
  <c r="Z28" i="1"/>
  <c r="U28" i="1"/>
  <c r="T28" i="1"/>
  <c r="S28" i="1"/>
  <c r="R28" i="1"/>
  <c r="P28" i="1"/>
  <c r="O28" i="1"/>
  <c r="N28" i="1"/>
  <c r="M28" i="1"/>
  <c r="L28" i="1"/>
  <c r="K28" i="1"/>
  <c r="J28" i="1"/>
  <c r="I28" i="1"/>
  <c r="H28" i="1"/>
  <c r="G28" i="1"/>
  <c r="F28" i="1"/>
  <c r="E28" i="1"/>
  <c r="P26" i="1"/>
  <c r="O26" i="1"/>
  <c r="N26" i="1"/>
  <c r="M26" i="1"/>
  <c r="L26" i="1"/>
  <c r="K26" i="1"/>
  <c r="J26" i="1"/>
  <c r="I26" i="1"/>
  <c r="H26" i="1"/>
  <c r="G26" i="1"/>
  <c r="F26" i="1"/>
  <c r="E26" i="1"/>
  <c r="P25" i="1"/>
  <c r="O25" i="1"/>
  <c r="N25" i="1"/>
  <c r="M25" i="1"/>
  <c r="L25" i="1"/>
  <c r="K25" i="1"/>
  <c r="J25" i="1"/>
  <c r="I25" i="1"/>
  <c r="H25" i="1"/>
  <c r="G25" i="1"/>
  <c r="F25" i="1"/>
  <c r="E25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P22" i="1"/>
  <c r="O22" i="1"/>
  <c r="N22" i="1"/>
  <c r="M22" i="1"/>
  <c r="L22" i="1"/>
  <c r="K22" i="1"/>
  <c r="J22" i="1"/>
  <c r="I22" i="1"/>
  <c r="H22" i="1"/>
  <c r="G22" i="1"/>
  <c r="F22" i="1"/>
  <c r="E22" i="1"/>
  <c r="AH21" i="1"/>
  <c r="AG21" i="1"/>
  <c r="AF21" i="1"/>
  <c r="AE21" i="1"/>
  <c r="AA21" i="1"/>
  <c r="Z21" i="1"/>
  <c r="Y21" i="1"/>
  <c r="X21" i="1"/>
  <c r="W21" i="1"/>
  <c r="V21" i="1"/>
  <c r="U21" i="1"/>
  <c r="S21" i="1"/>
  <c r="R21" i="1"/>
  <c r="Q21" i="1"/>
  <c r="P21" i="1"/>
  <c r="O21" i="1"/>
  <c r="N21" i="1"/>
  <c r="M21" i="1"/>
  <c r="K21" i="1"/>
  <c r="J21" i="1"/>
  <c r="I21" i="1"/>
  <c r="H21" i="1"/>
  <c r="G21" i="1"/>
  <c r="E21" i="1"/>
  <c r="P19" i="1"/>
  <c r="O19" i="1"/>
  <c r="M19" i="1"/>
  <c r="L19" i="1"/>
  <c r="K19" i="1"/>
  <c r="J19" i="1"/>
  <c r="I19" i="1"/>
  <c r="H19" i="1"/>
  <c r="G19" i="1"/>
  <c r="E19" i="1"/>
  <c r="AE17" i="1"/>
  <c r="AD17" i="1"/>
  <c r="T17" i="1"/>
  <c r="S17" i="1"/>
  <c r="P17" i="1"/>
  <c r="O17" i="1"/>
  <c r="N17" i="1"/>
  <c r="M17" i="1"/>
  <c r="L17" i="1"/>
  <c r="K17" i="1"/>
  <c r="J17" i="1"/>
  <c r="I17" i="1"/>
  <c r="H17" i="1"/>
  <c r="G17" i="1"/>
  <c r="F17" i="1"/>
  <c r="E17" i="1"/>
  <c r="AG16" i="1"/>
  <c r="AF16" i="1"/>
  <c r="AE16" i="1"/>
  <c r="AD16" i="1"/>
  <c r="AC16" i="1"/>
  <c r="AB16" i="1"/>
  <c r="AA16" i="1"/>
  <c r="X16" i="1"/>
  <c r="W16" i="1"/>
  <c r="V16" i="1"/>
  <c r="U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P15" i="1"/>
  <c r="O15" i="1"/>
  <c r="N15" i="1"/>
  <c r="M15" i="1"/>
  <c r="L15" i="1"/>
  <c r="K15" i="1"/>
  <c r="J15" i="1"/>
  <c r="I15" i="1"/>
  <c r="H15" i="1"/>
  <c r="G15" i="1"/>
  <c r="F15" i="1"/>
  <c r="E15" i="1"/>
  <c r="E9" i="1"/>
  <c r="F8" i="1"/>
  <c r="F9" i="1" s="1"/>
  <c r="E7" i="1"/>
  <c r="E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F177" i="1" l="1"/>
  <c r="F164" i="1"/>
  <c r="F134" i="1"/>
  <c r="F129" i="1"/>
  <c r="F124" i="1"/>
  <c r="F141" i="1"/>
  <c r="F76" i="1"/>
  <c r="F101" i="1"/>
  <c r="F46" i="1"/>
  <c r="F83" i="1"/>
  <c r="F62" i="1"/>
  <c r="F14" i="1"/>
  <c r="F71" i="1"/>
  <c r="F52" i="1"/>
  <c r="F35" i="1"/>
  <c r="F10" i="1"/>
  <c r="AS10" i="1"/>
  <c r="G8" i="1"/>
  <c r="X38" i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W40" i="1"/>
  <c r="AR10" i="1"/>
  <c r="F7" i="1"/>
  <c r="F6" i="1" s="1"/>
  <c r="Q42" i="1"/>
  <c r="Q19" i="1"/>
  <c r="F5" i="1"/>
  <c r="E6" i="1"/>
  <c r="X40" i="1"/>
  <c r="R40" i="1"/>
  <c r="E50" i="1"/>
  <c r="F49" i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K89" i="1"/>
  <c r="W89" i="1" s="1"/>
  <c r="K86" i="1"/>
  <c r="W86" i="1" s="1"/>
  <c r="K84" i="1"/>
  <c r="W84" i="1" s="1"/>
  <c r="K88" i="1"/>
  <c r="W88" i="1" s="1"/>
  <c r="K85" i="1"/>
  <c r="W85" i="1" s="1"/>
  <c r="K87" i="1"/>
  <c r="W87" i="1" s="1"/>
  <c r="AG88" i="1"/>
  <c r="S36" i="1"/>
  <c r="AH66" i="1"/>
  <c r="AH67" i="1" s="1"/>
  <c r="Z66" i="1"/>
  <c r="Z67" i="1" s="1"/>
  <c r="R66" i="1"/>
  <c r="R67" i="1" s="1"/>
  <c r="R69" i="1" s="1"/>
  <c r="AD66" i="1"/>
  <c r="AD67" i="1" s="1"/>
  <c r="U66" i="1"/>
  <c r="U67" i="1" s="1"/>
  <c r="AC66" i="1"/>
  <c r="AC67" i="1" s="1"/>
  <c r="S66" i="1"/>
  <c r="S67" i="1" s="1"/>
  <c r="S69" i="1" s="1"/>
  <c r="AB66" i="1"/>
  <c r="AB67" i="1" s="1"/>
  <c r="Q66" i="1"/>
  <c r="Q67" i="1" s="1"/>
  <c r="Q69" i="1" s="1"/>
  <c r="AA66" i="1"/>
  <c r="AA67" i="1" s="1"/>
  <c r="Y66" i="1"/>
  <c r="Y67" i="1" s="1"/>
  <c r="X66" i="1"/>
  <c r="X67" i="1" s="1"/>
  <c r="AG66" i="1"/>
  <c r="AG67" i="1" s="1"/>
  <c r="W66" i="1"/>
  <c r="W67" i="1" s="1"/>
  <c r="AE66" i="1"/>
  <c r="AE67" i="1" s="1"/>
  <c r="AF85" i="1"/>
  <c r="AH88" i="1"/>
  <c r="E177" i="1"/>
  <c r="E164" i="1"/>
  <c r="E134" i="1"/>
  <c r="E141" i="1"/>
  <c r="E129" i="1"/>
  <c r="E101" i="1"/>
  <c r="E83" i="1"/>
  <c r="E71" i="1"/>
  <c r="E76" i="1"/>
  <c r="E52" i="1"/>
  <c r="E46" i="1"/>
  <c r="E62" i="1"/>
  <c r="T63" i="1"/>
  <c r="AF66" i="1"/>
  <c r="AF67" i="1" s="1"/>
  <c r="L86" i="1"/>
  <c r="X86" i="1" s="1"/>
  <c r="L88" i="1"/>
  <c r="X88" i="1" s="1"/>
  <c r="L85" i="1"/>
  <c r="X85" i="1" s="1"/>
  <c r="L87" i="1"/>
  <c r="X87" i="1" s="1"/>
  <c r="L89" i="1"/>
  <c r="X89" i="1" s="1"/>
  <c r="E10" i="1"/>
  <c r="E89" i="1"/>
  <c r="Q89" i="1" s="1"/>
  <c r="E88" i="1"/>
  <c r="Q88" i="1" s="1"/>
  <c r="E85" i="1"/>
  <c r="Q85" i="1" s="1"/>
  <c r="E87" i="1"/>
  <c r="Q87" i="1" s="1"/>
  <c r="E84" i="1"/>
  <c r="Q84" i="1" s="1"/>
  <c r="E86" i="1"/>
  <c r="Q86" i="1" s="1"/>
  <c r="Q121" i="1"/>
  <c r="R111" i="1"/>
  <c r="P116" i="1"/>
  <c r="E35" i="1"/>
  <c r="Q122" i="1"/>
  <c r="L84" i="1"/>
  <c r="X84" i="1" s="1"/>
  <c r="AD86" i="1"/>
  <c r="E124" i="1"/>
  <c r="E14" i="1"/>
  <c r="Y36" i="1"/>
  <c r="H88" i="1"/>
  <c r="T88" i="1" s="1"/>
  <c r="H87" i="1"/>
  <c r="T87" i="1" s="1"/>
  <c r="H84" i="1"/>
  <c r="T84" i="1" s="1"/>
  <c r="H89" i="1"/>
  <c r="T89" i="1" s="1"/>
  <c r="H86" i="1"/>
  <c r="T86" i="1" s="1"/>
  <c r="P88" i="1"/>
  <c r="AB88" i="1" s="1"/>
  <c r="P89" i="1"/>
  <c r="AB89" i="1" s="1"/>
  <c r="P87" i="1"/>
  <c r="AB87" i="1" s="1"/>
  <c r="P84" i="1"/>
  <c r="AB84" i="1" s="1"/>
  <c r="P85" i="1"/>
  <c r="AB85" i="1" s="1"/>
  <c r="P86" i="1"/>
  <c r="AB86" i="1" s="1"/>
  <c r="F19" i="1"/>
  <c r="N19" i="1"/>
  <c r="T66" i="1"/>
  <c r="T67" i="1" s="1"/>
  <c r="I87" i="1"/>
  <c r="U87" i="1" s="1"/>
  <c r="I84" i="1"/>
  <c r="U84" i="1" s="1"/>
  <c r="I89" i="1"/>
  <c r="U89" i="1" s="1"/>
  <c r="I86" i="1"/>
  <c r="U86" i="1" s="1"/>
  <c r="I85" i="1"/>
  <c r="U85" i="1" s="1"/>
  <c r="S74" i="1"/>
  <c r="S16" i="1" s="1"/>
  <c r="J84" i="1"/>
  <c r="V84" i="1" s="1"/>
  <c r="J86" i="1"/>
  <c r="V86" i="1" s="1"/>
  <c r="J89" i="1"/>
  <c r="V89" i="1" s="1"/>
  <c r="J87" i="1"/>
  <c r="V87" i="1" s="1"/>
  <c r="J85" i="1"/>
  <c r="V85" i="1" s="1"/>
  <c r="T109" i="1"/>
  <c r="S119" i="1"/>
  <c r="M89" i="1"/>
  <c r="Y89" i="1" s="1"/>
  <c r="M88" i="1"/>
  <c r="Y88" i="1" s="1"/>
  <c r="M85" i="1"/>
  <c r="Y85" i="1" s="1"/>
  <c r="M86" i="1"/>
  <c r="Y86" i="1" s="1"/>
  <c r="AH78" i="1"/>
  <c r="AH79" i="1" s="1"/>
  <c r="AH17" i="1" s="1"/>
  <c r="Z78" i="1"/>
  <c r="Z79" i="1" s="1"/>
  <c r="Z17" i="1" s="1"/>
  <c r="R78" i="1"/>
  <c r="R79" i="1" s="1"/>
  <c r="R17" i="1" s="1"/>
  <c r="AG78" i="1"/>
  <c r="AG79" i="1" s="1"/>
  <c r="AG17" i="1" s="1"/>
  <c r="Y78" i="1"/>
  <c r="Y79" i="1" s="1"/>
  <c r="Y17" i="1" s="1"/>
  <c r="Q78" i="1"/>
  <c r="Q79" i="1" s="1"/>
  <c r="Q17" i="1" s="1"/>
  <c r="AF78" i="1"/>
  <c r="AF79" i="1" s="1"/>
  <c r="AF17" i="1" s="1"/>
  <c r="X78" i="1"/>
  <c r="X79" i="1" s="1"/>
  <c r="X17" i="1" s="1"/>
  <c r="AB78" i="1"/>
  <c r="AB79" i="1" s="1"/>
  <c r="AB17" i="1" s="1"/>
  <c r="AA78" i="1"/>
  <c r="AA79" i="1" s="1"/>
  <c r="AA17" i="1" s="1"/>
  <c r="W78" i="1"/>
  <c r="W79" i="1" s="1"/>
  <c r="W17" i="1" s="1"/>
  <c r="V78" i="1"/>
  <c r="V79" i="1" s="1"/>
  <c r="V17" i="1" s="1"/>
  <c r="U78" i="1"/>
  <c r="U79" i="1" s="1"/>
  <c r="U17" i="1" s="1"/>
  <c r="F89" i="1"/>
  <c r="R89" i="1" s="1"/>
  <c r="F88" i="1"/>
  <c r="R88" i="1" s="1"/>
  <c r="F85" i="1"/>
  <c r="R85" i="1" s="1"/>
  <c r="F87" i="1"/>
  <c r="R87" i="1" s="1"/>
  <c r="F84" i="1"/>
  <c r="R84" i="1" s="1"/>
  <c r="N88" i="1"/>
  <c r="Z88" i="1" s="1"/>
  <c r="N85" i="1"/>
  <c r="Z85" i="1" s="1"/>
  <c r="N89" i="1"/>
  <c r="Z89" i="1" s="1"/>
  <c r="N86" i="1"/>
  <c r="Z86" i="1" s="1"/>
  <c r="N87" i="1"/>
  <c r="Z87" i="1" s="1"/>
  <c r="AH73" i="1"/>
  <c r="AH74" i="1" s="1"/>
  <c r="AH16" i="1" s="1"/>
  <c r="AC78" i="1"/>
  <c r="AC79" i="1" s="1"/>
  <c r="AC17" i="1" s="1"/>
  <c r="K125" i="1"/>
  <c r="G85" i="1"/>
  <c r="S85" i="1" s="1"/>
  <c r="G87" i="1"/>
  <c r="S87" i="1" s="1"/>
  <c r="G84" i="1"/>
  <c r="S84" i="1" s="1"/>
  <c r="G89" i="1"/>
  <c r="S89" i="1" s="1"/>
  <c r="G86" i="1"/>
  <c r="S86" i="1" s="1"/>
  <c r="O85" i="1"/>
  <c r="AA85" i="1" s="1"/>
  <c r="O89" i="1"/>
  <c r="AA89" i="1" s="1"/>
  <c r="O88" i="1"/>
  <c r="AA88" i="1" s="1"/>
  <c r="O87" i="1"/>
  <c r="AA87" i="1" s="1"/>
  <c r="O84" i="1"/>
  <c r="AA84" i="1" s="1"/>
  <c r="G88" i="1"/>
  <c r="S88" i="1" s="1"/>
  <c r="I116" i="1"/>
  <c r="AD144" i="1"/>
  <c r="AD143" i="1" s="1"/>
  <c r="R143" i="1"/>
  <c r="T74" i="1"/>
  <c r="T16" i="1" s="1"/>
  <c r="F115" i="1"/>
  <c r="N115" i="1"/>
  <c r="J116" i="1"/>
  <c r="L114" i="1"/>
  <c r="K116" i="1"/>
  <c r="BC141" i="1"/>
  <c r="BD141" i="1"/>
  <c r="T149" i="1"/>
  <c r="U148" i="1"/>
  <c r="AB153" i="1"/>
  <c r="AB154" i="1" s="1"/>
  <c r="T153" i="1"/>
  <c r="T154" i="1" s="1"/>
  <c r="AH153" i="1"/>
  <c r="AH154" i="1" s="1"/>
  <c r="Z153" i="1"/>
  <c r="Z154" i="1" s="1"/>
  <c r="R153" i="1"/>
  <c r="R154" i="1" s="1"/>
  <c r="AF153" i="1"/>
  <c r="AF154" i="1" s="1"/>
  <c r="X153" i="1"/>
  <c r="X154" i="1" s="1"/>
  <c r="AE153" i="1"/>
  <c r="AE154" i="1" s="1"/>
  <c r="S153" i="1"/>
  <c r="S154" i="1" s="1"/>
  <c r="AD153" i="1"/>
  <c r="AD154" i="1" s="1"/>
  <c r="Q153" i="1"/>
  <c r="Q154" i="1" s="1"/>
  <c r="AC153" i="1"/>
  <c r="AC154" i="1" s="1"/>
  <c r="AA153" i="1"/>
  <c r="AA154" i="1" s="1"/>
  <c r="Y153" i="1"/>
  <c r="Y154" i="1" s="1"/>
  <c r="W153" i="1"/>
  <c r="W154" i="1" s="1"/>
  <c r="U153" i="1"/>
  <c r="U154" i="1" s="1"/>
  <c r="R110" i="1"/>
  <c r="BE140" i="1"/>
  <c r="P114" i="1"/>
  <c r="I125" i="1"/>
  <c r="H125" i="1"/>
  <c r="Q175" i="1"/>
  <c r="Q28" i="1" s="1"/>
  <c r="Y175" i="1"/>
  <c r="Y28" i="1" s="1"/>
  <c r="AG175" i="1"/>
  <c r="AG28" i="1" s="1"/>
  <c r="J125" i="1"/>
  <c r="L125" i="1"/>
  <c r="AF144" i="1"/>
  <c r="AF143" i="1" s="1"/>
  <c r="T143" i="1"/>
  <c r="S158" i="1"/>
  <c r="S159" i="1" s="1"/>
  <c r="S161" i="1" s="1"/>
  <c r="S162" i="1" s="1"/>
  <c r="S26" i="1" s="1"/>
  <c r="AC175" i="1"/>
  <c r="AC28" i="1" s="1"/>
  <c r="P115" i="1"/>
  <c r="G125" i="1"/>
  <c r="O125" i="1"/>
  <c r="M125" i="1"/>
  <c r="M126" i="1" s="1"/>
  <c r="T161" i="1"/>
  <c r="T162" i="1" s="1"/>
  <c r="T26" i="1" s="1"/>
  <c r="V175" i="1"/>
  <c r="V28" i="1" s="1"/>
  <c r="AD175" i="1"/>
  <c r="AD28" i="1" s="1"/>
  <c r="AH158" i="1"/>
  <c r="AH159" i="1" s="1"/>
  <c r="Z158" i="1"/>
  <c r="Z159" i="1" s="1"/>
  <c r="R158" i="1"/>
  <c r="R159" i="1" s="1"/>
  <c r="R161" i="1" s="1"/>
  <c r="R162" i="1" s="1"/>
  <c r="R26" i="1" s="1"/>
  <c r="AG158" i="1"/>
  <c r="AG159" i="1" s="1"/>
  <c r="Y158" i="1"/>
  <c r="Y159" i="1" s="1"/>
  <c r="Q158" i="1"/>
  <c r="Q159" i="1" s="1"/>
  <c r="AF158" i="1"/>
  <c r="AF159" i="1" s="1"/>
  <c r="X158" i="1"/>
  <c r="X159" i="1" s="1"/>
  <c r="AE158" i="1"/>
  <c r="AE159" i="1" s="1"/>
  <c r="W158" i="1"/>
  <c r="W159" i="1" s="1"/>
  <c r="AD158" i="1"/>
  <c r="AD159" i="1" s="1"/>
  <c r="V158" i="1"/>
  <c r="V159" i="1" s="1"/>
  <c r="U158" i="1"/>
  <c r="U159" i="1" s="1"/>
  <c r="U161" i="1" s="1"/>
  <c r="U162" i="1" s="1"/>
  <c r="U26" i="1" s="1"/>
  <c r="W175" i="1"/>
  <c r="W28" i="1" s="1"/>
  <c r="AE175" i="1"/>
  <c r="AE28" i="1" s="1"/>
  <c r="AA158" i="1"/>
  <c r="AA159" i="1" s="1"/>
  <c r="X175" i="1"/>
  <c r="X28" i="1" s="1"/>
  <c r="AF175" i="1"/>
  <c r="AF28" i="1" s="1"/>
  <c r="R179" i="1"/>
  <c r="S81" i="1" l="1"/>
  <c r="S97" i="1" s="1"/>
  <c r="S15" i="1"/>
  <c r="R81" i="1"/>
  <c r="R97" i="1" s="1"/>
  <c r="R93" i="1" s="1"/>
  <c r="R15" i="1"/>
  <c r="AF88" i="1"/>
  <c r="R125" i="1"/>
  <c r="Q22" i="1"/>
  <c r="AR177" i="1"/>
  <c r="AR164" i="1"/>
  <c r="AR141" i="1"/>
  <c r="AR134" i="1"/>
  <c r="AR124" i="1"/>
  <c r="AR129" i="1"/>
  <c r="AR83" i="1"/>
  <c r="AR101" i="1"/>
  <c r="AR76" i="1"/>
  <c r="AR71" i="1"/>
  <c r="AR52" i="1"/>
  <c r="AR46" i="1"/>
  <c r="AR62" i="1"/>
  <c r="AR14" i="1"/>
  <c r="AR35" i="1"/>
  <c r="G9" i="1"/>
  <c r="G5" i="1"/>
  <c r="G7" i="1"/>
  <c r="H8" i="1"/>
  <c r="AC87" i="1"/>
  <c r="F50" i="1"/>
  <c r="E20" i="1"/>
  <c r="E58" i="1"/>
  <c r="X42" i="1"/>
  <c r="X19" i="1"/>
  <c r="AE87" i="1"/>
  <c r="S94" i="1"/>
  <c r="T119" i="1"/>
  <c r="U109" i="1"/>
  <c r="Y40" i="1"/>
  <c r="Z36" i="1"/>
  <c r="AC85" i="1"/>
  <c r="R42" i="1"/>
  <c r="R19" i="1"/>
  <c r="S95" i="1"/>
  <c r="AE88" i="1"/>
  <c r="AE84" i="1"/>
  <c r="S91" i="1"/>
  <c r="AH84" i="1"/>
  <c r="AD87" i="1"/>
  <c r="AG86" i="1"/>
  <c r="AC89" i="1"/>
  <c r="S111" i="1"/>
  <c r="R121" i="1"/>
  <c r="Q161" i="1"/>
  <c r="Q162" i="1" s="1"/>
  <c r="Q26" i="1" s="1"/>
  <c r="AD88" i="1"/>
  <c r="AH87" i="1"/>
  <c r="AG84" i="1"/>
  <c r="AF89" i="1"/>
  <c r="W42" i="1"/>
  <c r="W19" i="1"/>
  <c r="AC88" i="1"/>
  <c r="BE141" i="1"/>
  <c r="BF140" i="1"/>
  <c r="T69" i="1"/>
  <c r="U63" i="1"/>
  <c r="AD85" i="1"/>
  <c r="AH85" i="1"/>
  <c r="AG89" i="1"/>
  <c r="R120" i="1"/>
  <c r="R122" i="1" s="1"/>
  <c r="S110" i="1"/>
  <c r="S93" i="1"/>
  <c r="AE86" i="1"/>
  <c r="AE85" i="1"/>
  <c r="S92" i="1"/>
  <c r="AD84" i="1"/>
  <c r="AG85" i="1"/>
  <c r="AF86" i="1"/>
  <c r="Q81" i="1"/>
  <c r="Q97" i="1" s="1"/>
  <c r="Q96" i="1" s="1"/>
  <c r="Q15" i="1"/>
  <c r="AD89" i="1"/>
  <c r="AH89" i="1"/>
  <c r="AG87" i="1"/>
  <c r="AF84" i="1"/>
  <c r="Q93" i="1"/>
  <c r="AC86" i="1"/>
  <c r="S40" i="1"/>
  <c r="T36" i="1"/>
  <c r="R180" i="1"/>
  <c r="R29" i="1" s="1"/>
  <c r="S179" i="1"/>
  <c r="V148" i="1"/>
  <c r="U149" i="1"/>
  <c r="S96" i="1"/>
  <c r="AE89" i="1"/>
  <c r="AH86" i="1"/>
  <c r="AF87" i="1"/>
  <c r="AC84" i="1"/>
  <c r="AS177" i="1"/>
  <c r="AS164" i="1"/>
  <c r="AS141" i="1"/>
  <c r="AS134" i="1"/>
  <c r="AS124" i="1"/>
  <c r="AS101" i="1"/>
  <c r="AS129" i="1"/>
  <c r="AS83" i="1"/>
  <c r="AS76" i="1"/>
  <c r="AS71" i="1"/>
  <c r="AS52" i="1"/>
  <c r="AS46" i="1"/>
  <c r="AS62" i="1"/>
  <c r="AS14" i="1"/>
  <c r="AS35" i="1"/>
  <c r="S120" i="1" l="1"/>
  <c r="T110" i="1"/>
  <c r="T179" i="1"/>
  <c r="S180" i="1"/>
  <c r="S29" i="1" s="1"/>
  <c r="R96" i="1"/>
  <c r="S125" i="1"/>
  <c r="R22" i="1"/>
  <c r="R92" i="1"/>
  <c r="G177" i="1"/>
  <c r="G164" i="1"/>
  <c r="G141" i="1"/>
  <c r="G134" i="1"/>
  <c r="G129" i="1"/>
  <c r="G101" i="1"/>
  <c r="G124" i="1"/>
  <c r="G76" i="1"/>
  <c r="G83" i="1"/>
  <c r="G62" i="1"/>
  <c r="G71" i="1"/>
  <c r="G52" i="1"/>
  <c r="G35" i="1"/>
  <c r="G46" i="1"/>
  <c r="G10" i="1"/>
  <c r="G14" i="1"/>
  <c r="Q91" i="1"/>
  <c r="T111" i="1"/>
  <c r="S121" i="1"/>
  <c r="R94" i="1"/>
  <c r="Q92" i="1"/>
  <c r="W148" i="1"/>
  <c r="V149" i="1"/>
  <c r="AJ5" i="1"/>
  <c r="V161" i="1"/>
  <c r="V162" i="1" s="1"/>
  <c r="V26" i="1" s="1"/>
  <c r="U119" i="1"/>
  <c r="V109" i="1"/>
  <c r="T40" i="1"/>
  <c r="U36" i="1"/>
  <c r="R91" i="1"/>
  <c r="U69" i="1"/>
  <c r="V63" i="1"/>
  <c r="Q94" i="1"/>
  <c r="F20" i="1"/>
  <c r="F58" i="1"/>
  <c r="G50" i="1"/>
  <c r="S19" i="1"/>
  <c r="S42" i="1"/>
  <c r="T81" i="1"/>
  <c r="T97" i="1" s="1"/>
  <c r="T15" i="1"/>
  <c r="Q95" i="1"/>
  <c r="R95" i="1"/>
  <c r="Z40" i="1"/>
  <c r="AA36" i="1"/>
  <c r="H9" i="1"/>
  <c r="H5" i="1"/>
  <c r="H7" i="1"/>
  <c r="H6" i="1" s="1"/>
  <c r="I8" i="1"/>
  <c r="BG140" i="1"/>
  <c r="BF141" i="1"/>
  <c r="Y42" i="1"/>
  <c r="Y19" i="1"/>
  <c r="G6" i="1"/>
  <c r="Z42" i="1" l="1"/>
  <c r="Z19" i="1"/>
  <c r="AU5" i="1"/>
  <c r="AJ6" i="1"/>
  <c r="AJ10" i="1" s="1"/>
  <c r="I9" i="1"/>
  <c r="I7" i="1"/>
  <c r="J8" i="1"/>
  <c r="I5" i="1"/>
  <c r="U110" i="1"/>
  <c r="T120" i="1"/>
  <c r="T92" i="1"/>
  <c r="T94" i="1"/>
  <c r="T96" i="1"/>
  <c r="T95" i="1"/>
  <c r="T91" i="1"/>
  <c r="T93" i="1"/>
  <c r="U40" i="1"/>
  <c r="V36" i="1"/>
  <c r="V40" i="1" s="1"/>
  <c r="X148" i="1"/>
  <c r="W149" i="1"/>
  <c r="W161" i="1"/>
  <c r="W162" i="1" s="1"/>
  <c r="W26" i="1" s="1"/>
  <c r="S122" i="1"/>
  <c r="V119" i="1"/>
  <c r="W109" i="1"/>
  <c r="H164" i="1"/>
  <c r="H134" i="1"/>
  <c r="H141" i="1"/>
  <c r="H177" i="1"/>
  <c r="H124" i="1"/>
  <c r="H129" i="1"/>
  <c r="H76" i="1"/>
  <c r="H83" i="1"/>
  <c r="H101" i="1"/>
  <c r="H62" i="1"/>
  <c r="H71" i="1"/>
  <c r="H52" i="1"/>
  <c r="H35" i="1"/>
  <c r="H46" i="1"/>
  <c r="H10" i="1"/>
  <c r="H14" i="1"/>
  <c r="T19" i="1"/>
  <c r="T42" i="1"/>
  <c r="BH140" i="1"/>
  <c r="BG141" i="1"/>
  <c r="BG142" i="1" a="1"/>
  <c r="BG142" i="1" s="1"/>
  <c r="G58" i="1"/>
  <c r="H50" i="1"/>
  <c r="G20" i="1"/>
  <c r="V69" i="1"/>
  <c r="W63" i="1"/>
  <c r="AB36" i="1"/>
  <c r="AA40" i="1"/>
  <c r="U81" i="1"/>
  <c r="U97" i="1" s="1"/>
  <c r="U15" i="1"/>
  <c r="U111" i="1"/>
  <c r="T121" i="1"/>
  <c r="U179" i="1"/>
  <c r="T180" i="1"/>
  <c r="T29" i="1" s="1"/>
  <c r="AU10" i="1" l="1"/>
  <c r="AV5" i="1"/>
  <c r="BH141" i="1"/>
  <c r="BH142" i="1" a="1"/>
  <c r="BH142" i="1" s="1"/>
  <c r="BI140" i="1"/>
  <c r="T125" i="1"/>
  <c r="S22" i="1"/>
  <c r="X149" i="1"/>
  <c r="Y148" i="1"/>
  <c r="X161" i="1"/>
  <c r="X162" i="1" s="1"/>
  <c r="X26" i="1" s="1"/>
  <c r="V110" i="1"/>
  <c r="U120" i="1"/>
  <c r="V111" i="1"/>
  <c r="U121" i="1"/>
  <c r="H58" i="1"/>
  <c r="I50" i="1"/>
  <c r="H20" i="1"/>
  <c r="AJ177" i="1"/>
  <c r="AJ129" i="1"/>
  <c r="AJ164" i="1"/>
  <c r="AJ124" i="1"/>
  <c r="AJ83" i="1"/>
  <c r="AJ134" i="1"/>
  <c r="AJ101" i="1"/>
  <c r="AJ141" i="1"/>
  <c r="AJ76" i="1"/>
  <c r="AJ52" i="1"/>
  <c r="AJ46" i="1"/>
  <c r="AJ62" i="1"/>
  <c r="AJ14" i="1"/>
  <c r="AJ71" i="1"/>
  <c r="AJ35" i="1"/>
  <c r="V42" i="1"/>
  <c r="V19" i="1"/>
  <c r="AA42" i="1"/>
  <c r="AA19" i="1"/>
  <c r="U42" i="1"/>
  <c r="U19" i="1"/>
  <c r="U180" i="1"/>
  <c r="U29" i="1" s="1"/>
  <c r="V179" i="1"/>
  <c r="AB40" i="1"/>
  <c r="AC36" i="1"/>
  <c r="W69" i="1"/>
  <c r="X63" i="1"/>
  <c r="X109" i="1"/>
  <c r="W119" i="1"/>
  <c r="J9" i="1"/>
  <c r="K8" i="1"/>
  <c r="J5" i="1"/>
  <c r="AK5" i="1" s="1"/>
  <c r="J7" i="1"/>
  <c r="I164" i="1"/>
  <c r="I129" i="1"/>
  <c r="I177" i="1"/>
  <c r="I124" i="1"/>
  <c r="I134" i="1"/>
  <c r="I141" i="1"/>
  <c r="I83" i="1"/>
  <c r="I62" i="1"/>
  <c r="I76" i="1"/>
  <c r="I71" i="1"/>
  <c r="I52" i="1"/>
  <c r="I46" i="1"/>
  <c r="I10" i="1"/>
  <c r="I101" i="1"/>
  <c r="I14" i="1"/>
  <c r="I35" i="1"/>
  <c r="U95" i="1"/>
  <c r="U96" i="1"/>
  <c r="U92" i="1"/>
  <c r="U94" i="1"/>
  <c r="U93" i="1"/>
  <c r="U91" i="1"/>
  <c r="V81" i="1"/>
  <c r="V97" i="1" s="1"/>
  <c r="V15" i="1"/>
  <c r="T122" i="1"/>
  <c r="I6" i="1"/>
  <c r="W110" i="1" l="1"/>
  <c r="V120" i="1"/>
  <c r="W81" i="1"/>
  <c r="W97" i="1" s="1"/>
  <c r="W15" i="1"/>
  <c r="J6" i="1"/>
  <c r="AC40" i="1"/>
  <c r="AD36" i="1"/>
  <c r="Z148" i="1"/>
  <c r="Y149" i="1"/>
  <c r="Y161" i="1"/>
  <c r="Y162" i="1" s="1"/>
  <c r="Y26" i="1" s="1"/>
  <c r="AB42" i="1"/>
  <c r="AB19" i="1"/>
  <c r="I58" i="1"/>
  <c r="J50" i="1"/>
  <c r="I20" i="1"/>
  <c r="V95" i="1"/>
  <c r="V92" i="1"/>
  <c r="V93" i="1"/>
  <c r="V94" i="1"/>
  <c r="V91" i="1"/>
  <c r="V96" i="1"/>
  <c r="L8" i="1"/>
  <c r="K9" i="1"/>
  <c r="K5" i="1"/>
  <c r="K7" i="1"/>
  <c r="J141" i="1"/>
  <c r="J164" i="1"/>
  <c r="J177" i="1"/>
  <c r="J134" i="1"/>
  <c r="J124" i="1"/>
  <c r="J83" i="1"/>
  <c r="J129" i="1"/>
  <c r="J101" i="1"/>
  <c r="J76" i="1"/>
  <c r="J71" i="1"/>
  <c r="J52" i="1"/>
  <c r="J46" i="1"/>
  <c r="J62" i="1"/>
  <c r="J14" i="1"/>
  <c r="J35" i="1"/>
  <c r="J10" i="1"/>
  <c r="V180" i="1"/>
  <c r="V29" i="1" s="1"/>
  <c r="W179" i="1"/>
  <c r="U125" i="1"/>
  <c r="T22" i="1"/>
  <c r="X69" i="1"/>
  <c r="Y63" i="1"/>
  <c r="V121" i="1"/>
  <c r="W111" i="1"/>
  <c r="AV10" i="1"/>
  <c r="AW5" i="1"/>
  <c r="AU177" i="1"/>
  <c r="AU164" i="1"/>
  <c r="AU134" i="1"/>
  <c r="AU101" i="1"/>
  <c r="AU129" i="1"/>
  <c r="AU83" i="1"/>
  <c r="AU71" i="1"/>
  <c r="AU76" i="1"/>
  <c r="AU141" i="1"/>
  <c r="AU124" i="1"/>
  <c r="AU52" i="1"/>
  <c r="AU46" i="1"/>
  <c r="AU62" i="1"/>
  <c r="AU14" i="1"/>
  <c r="AU35" i="1"/>
  <c r="Y109" i="1"/>
  <c r="X119" i="1"/>
  <c r="U122" i="1"/>
  <c r="BJ140" i="1"/>
  <c r="BI142" i="1" a="1"/>
  <c r="BI142" i="1" s="1"/>
  <c r="BI141" i="1"/>
  <c r="Z109" i="1" l="1"/>
  <c r="Y119" i="1"/>
  <c r="AE36" i="1"/>
  <c r="AD40" i="1"/>
  <c r="AK6" i="1"/>
  <c r="K6" i="1"/>
  <c r="AC42" i="1"/>
  <c r="AC19" i="1"/>
  <c r="V125" i="1"/>
  <c r="V127" i="1" s="1"/>
  <c r="V23" i="1" s="1"/>
  <c r="U22" i="1"/>
  <c r="AW10" i="1"/>
  <c r="W95" i="1"/>
  <c r="W92" i="1"/>
  <c r="W91" i="1"/>
  <c r="W96" i="1"/>
  <c r="W93" i="1"/>
  <c r="W94" i="1"/>
  <c r="W121" i="1"/>
  <c r="X111" i="1"/>
  <c r="X81" i="1"/>
  <c r="X97" i="1" s="1"/>
  <c r="X15" i="1"/>
  <c r="BJ141" i="1"/>
  <c r="BK140" i="1"/>
  <c r="BJ142" i="1" a="1"/>
  <c r="BJ142" i="1" s="1"/>
  <c r="Z149" i="1"/>
  <c r="AA148" i="1"/>
  <c r="Z161" i="1"/>
  <c r="Z162" i="1" s="1"/>
  <c r="Z26" i="1" s="1"/>
  <c r="K177" i="1"/>
  <c r="K164" i="1"/>
  <c r="K134" i="1"/>
  <c r="K101" i="1"/>
  <c r="K83" i="1"/>
  <c r="K124" i="1"/>
  <c r="K71" i="1"/>
  <c r="K129" i="1"/>
  <c r="K141" i="1"/>
  <c r="K52" i="1"/>
  <c r="K46" i="1"/>
  <c r="K76" i="1"/>
  <c r="K62" i="1"/>
  <c r="K14" i="1"/>
  <c r="K35" i="1"/>
  <c r="K10" i="1"/>
  <c r="V122" i="1"/>
  <c r="AV177" i="1"/>
  <c r="AV164" i="1"/>
  <c r="AV134" i="1"/>
  <c r="AV129" i="1"/>
  <c r="AV124" i="1"/>
  <c r="AV76" i="1"/>
  <c r="AV141" i="1"/>
  <c r="AV101" i="1"/>
  <c r="AV83" i="1"/>
  <c r="AV71" i="1"/>
  <c r="AV46" i="1"/>
  <c r="AV62" i="1"/>
  <c r="AV52" i="1"/>
  <c r="AV14" i="1"/>
  <c r="AV35" i="1"/>
  <c r="W180" i="1"/>
  <c r="W29" i="1" s="1"/>
  <c r="X179" i="1"/>
  <c r="L5" i="1"/>
  <c r="L9" i="1"/>
  <c r="L7" i="1"/>
  <c r="M8" i="1"/>
  <c r="X110" i="1"/>
  <c r="W120" i="1"/>
  <c r="Z63" i="1"/>
  <c r="Y69" i="1"/>
  <c r="J58" i="1"/>
  <c r="K50" i="1"/>
  <c r="J20" i="1"/>
  <c r="W125" i="1" l="1"/>
  <c r="W127" i="1" s="1"/>
  <c r="W23" i="1" s="1"/>
  <c r="V22" i="1"/>
  <c r="BK142" i="1" a="1"/>
  <c r="BK142" i="1" s="1"/>
  <c r="BL140" i="1"/>
  <c r="BK141" i="1"/>
  <c r="X180" i="1"/>
  <c r="X29" i="1" s="1"/>
  <c r="Y179" i="1"/>
  <c r="Y81" i="1"/>
  <c r="Y97" i="1" s="1"/>
  <c r="Y15" i="1"/>
  <c r="AA63" i="1"/>
  <c r="Z69" i="1"/>
  <c r="W122" i="1"/>
  <c r="Y110" i="1"/>
  <c r="X120" i="1"/>
  <c r="AF36" i="1"/>
  <c r="AE40" i="1"/>
  <c r="M9" i="1"/>
  <c r="M5" i="1"/>
  <c r="M7" i="1"/>
  <c r="N8" i="1"/>
  <c r="L6" i="1"/>
  <c r="Z119" i="1"/>
  <c r="AA109" i="1"/>
  <c r="Y111" i="1"/>
  <c r="X121" i="1"/>
  <c r="AD42" i="1"/>
  <c r="AD19" i="1"/>
  <c r="L177" i="1"/>
  <c r="L101" i="1"/>
  <c r="L134" i="1"/>
  <c r="L83" i="1"/>
  <c r="L124" i="1"/>
  <c r="L129" i="1"/>
  <c r="L164" i="1"/>
  <c r="L71" i="1"/>
  <c r="L52" i="1"/>
  <c r="L46" i="1"/>
  <c r="L62" i="1"/>
  <c r="L14" i="1"/>
  <c r="L141" i="1"/>
  <c r="L35" i="1"/>
  <c r="L10" i="1"/>
  <c r="L76" i="1"/>
  <c r="K58" i="1"/>
  <c r="L50" i="1"/>
  <c r="K20" i="1"/>
  <c r="AB148" i="1"/>
  <c r="AA149" i="1"/>
  <c r="AA161" i="1"/>
  <c r="AA162" i="1" s="1"/>
  <c r="AA26" i="1" s="1"/>
  <c r="X91" i="1"/>
  <c r="X96" i="1"/>
  <c r="X94" i="1"/>
  <c r="X95" i="1"/>
  <c r="X93" i="1"/>
  <c r="X92" i="1"/>
  <c r="AW177" i="1"/>
  <c r="AW164" i="1"/>
  <c r="AW141" i="1"/>
  <c r="AW101" i="1"/>
  <c r="AW129" i="1"/>
  <c r="AW134" i="1"/>
  <c r="AW76" i="1"/>
  <c r="AW124" i="1"/>
  <c r="AW71" i="1"/>
  <c r="AW83" i="1"/>
  <c r="AW62" i="1"/>
  <c r="AW46" i="1"/>
  <c r="AW35" i="1"/>
  <c r="AW52" i="1"/>
  <c r="AW14" i="1"/>
  <c r="AK10" i="1"/>
  <c r="M6" i="1" l="1"/>
  <c r="AB149" i="1"/>
  <c r="AC148" i="1"/>
  <c r="AB161" i="1"/>
  <c r="AB162" i="1" s="1"/>
  <c r="AB26" i="1" s="1"/>
  <c r="M177" i="1"/>
  <c r="M164" i="1"/>
  <c r="M134" i="1"/>
  <c r="M101" i="1"/>
  <c r="M141" i="1"/>
  <c r="M129" i="1"/>
  <c r="M83" i="1"/>
  <c r="M124" i="1"/>
  <c r="M71" i="1"/>
  <c r="M52" i="1"/>
  <c r="M46" i="1"/>
  <c r="M62" i="1"/>
  <c r="M76" i="1"/>
  <c r="M14" i="1"/>
  <c r="M35" i="1"/>
  <c r="M10" i="1"/>
  <c r="AA69" i="1"/>
  <c r="AB63" i="1"/>
  <c r="AE42" i="1"/>
  <c r="AE19" i="1"/>
  <c r="AK177" i="1"/>
  <c r="AK129" i="1"/>
  <c r="AK164" i="1"/>
  <c r="AK101" i="1"/>
  <c r="AK83" i="1"/>
  <c r="AK134" i="1"/>
  <c r="AK124" i="1"/>
  <c r="AK141" i="1"/>
  <c r="AK76" i="1"/>
  <c r="AK52" i="1"/>
  <c r="AK46" i="1"/>
  <c r="AK62" i="1"/>
  <c r="AK14" i="1"/>
  <c r="AK71" i="1"/>
  <c r="AK35" i="1"/>
  <c r="AG36" i="1"/>
  <c r="AF40" i="1"/>
  <c r="Y94" i="1"/>
  <c r="Y91" i="1"/>
  <c r="Y92" i="1"/>
  <c r="Y96" i="1"/>
  <c r="Y93" i="1"/>
  <c r="Y95" i="1"/>
  <c r="Z81" i="1"/>
  <c r="Z97" i="1" s="1"/>
  <c r="Z15" i="1"/>
  <c r="Z111" i="1"/>
  <c r="Y121" i="1"/>
  <c r="Y180" i="1"/>
  <c r="Y29" i="1" s="1"/>
  <c r="Z179" i="1"/>
  <c r="L58" i="1"/>
  <c r="M50" i="1"/>
  <c r="L20" i="1"/>
  <c r="AB109" i="1"/>
  <c r="AA119" i="1"/>
  <c r="X122" i="1"/>
  <c r="AL5" i="1"/>
  <c r="N9" i="1"/>
  <c r="N5" i="1"/>
  <c r="N7" i="1"/>
  <c r="N6" i="1" s="1"/>
  <c r="O8" i="1"/>
  <c r="Y120" i="1"/>
  <c r="Z110" i="1"/>
  <c r="BL142" i="1" a="1"/>
  <c r="BL142" i="1" s="1"/>
  <c r="BL141" i="1"/>
  <c r="X125" i="1"/>
  <c r="X127" i="1" s="1"/>
  <c r="X23" i="1" s="1"/>
  <c r="W22" i="1"/>
  <c r="AA111" i="1" l="1"/>
  <c r="Z121" i="1"/>
  <c r="AB119" i="1"/>
  <c r="AC109" i="1"/>
  <c r="AC63" i="1"/>
  <c r="AB69" i="1"/>
  <c r="N177" i="1"/>
  <c r="N164" i="1"/>
  <c r="N134" i="1"/>
  <c r="N129" i="1"/>
  <c r="N141" i="1"/>
  <c r="N124" i="1"/>
  <c r="N101" i="1"/>
  <c r="N76" i="1"/>
  <c r="N83" i="1"/>
  <c r="N71" i="1"/>
  <c r="N46" i="1"/>
  <c r="N62" i="1"/>
  <c r="N52" i="1"/>
  <c r="N14" i="1"/>
  <c r="N35" i="1"/>
  <c r="N10" i="1"/>
  <c r="Z180" i="1"/>
  <c r="Z29" i="1" s="1"/>
  <c r="AA179" i="1"/>
  <c r="Z120" i="1"/>
  <c r="AA110" i="1"/>
  <c r="AD148" i="1"/>
  <c r="AC149" i="1"/>
  <c r="AC161" i="1"/>
  <c r="AC162" i="1" s="1"/>
  <c r="AC26" i="1" s="1"/>
  <c r="AL6" i="1"/>
  <c r="AL10" i="1" s="1"/>
  <c r="Z91" i="1"/>
  <c r="Z94" i="1"/>
  <c r="Z95" i="1"/>
  <c r="Z92" i="1"/>
  <c r="Z93" i="1"/>
  <c r="Z96" i="1"/>
  <c r="AA81" i="1"/>
  <c r="AA97" i="1" s="1"/>
  <c r="AA15" i="1"/>
  <c r="Y122" i="1"/>
  <c r="AG40" i="1"/>
  <c r="AH36" i="1"/>
  <c r="AH40" i="1" s="1"/>
  <c r="M20" i="1"/>
  <c r="M58" i="1"/>
  <c r="N50" i="1"/>
  <c r="O9" i="1"/>
  <c r="O5" i="1"/>
  <c r="O7" i="1"/>
  <c r="O6" i="1" s="1"/>
  <c r="P8" i="1"/>
  <c r="Y125" i="1"/>
  <c r="Y127" i="1" s="1"/>
  <c r="Y23" i="1" s="1"/>
  <c r="X22" i="1"/>
  <c r="AF42" i="1"/>
  <c r="AF19" i="1"/>
  <c r="AH42" i="1" l="1"/>
  <c r="AH19" i="1"/>
  <c r="AD149" i="1"/>
  <c r="AE148" i="1"/>
  <c r="AD161" i="1"/>
  <c r="AD162" i="1" s="1"/>
  <c r="AD26" i="1" s="1"/>
  <c r="AB111" i="1"/>
  <c r="AA121" i="1"/>
  <c r="AG42" i="1"/>
  <c r="AG19" i="1"/>
  <c r="AB81" i="1"/>
  <c r="AB97" i="1" s="1"/>
  <c r="AB15" i="1"/>
  <c r="AC119" i="1"/>
  <c r="AD109" i="1"/>
  <c r="O177" i="1"/>
  <c r="O164" i="1"/>
  <c r="O141" i="1"/>
  <c r="O101" i="1"/>
  <c r="O129" i="1"/>
  <c r="O124" i="1"/>
  <c r="O134" i="1"/>
  <c r="O76" i="1"/>
  <c r="O83" i="1"/>
  <c r="O62" i="1"/>
  <c r="O46" i="1"/>
  <c r="O71" i="1"/>
  <c r="O35" i="1"/>
  <c r="O10" i="1"/>
  <c r="O52" i="1"/>
  <c r="O14" i="1"/>
  <c r="N20" i="1"/>
  <c r="N58" i="1"/>
  <c r="O50" i="1"/>
  <c r="Z125" i="1"/>
  <c r="Z127" i="1" s="1"/>
  <c r="Z23" i="1" s="1"/>
  <c r="Y22" i="1"/>
  <c r="AB179" i="1"/>
  <c r="AA180" i="1"/>
  <c r="AA29" i="1" s="1"/>
  <c r="AC69" i="1"/>
  <c r="AD63" i="1"/>
  <c r="AA93" i="1"/>
  <c r="AA91" i="1"/>
  <c r="AA95" i="1"/>
  <c r="AA94" i="1"/>
  <c r="AA96" i="1"/>
  <c r="AA92" i="1"/>
  <c r="AA120" i="1"/>
  <c r="AA122" i="1" s="1"/>
  <c r="AB110" i="1"/>
  <c r="P9" i="1"/>
  <c r="P5" i="1"/>
  <c r="P7" i="1"/>
  <c r="Q8" i="1"/>
  <c r="AL177" i="1"/>
  <c r="AL164" i="1"/>
  <c r="AL134" i="1"/>
  <c r="AL129" i="1"/>
  <c r="AL101" i="1"/>
  <c r="AL83" i="1"/>
  <c r="AL71" i="1"/>
  <c r="AL124" i="1"/>
  <c r="AL141" i="1"/>
  <c r="AL76" i="1"/>
  <c r="AL52" i="1"/>
  <c r="AL46" i="1"/>
  <c r="AL62" i="1"/>
  <c r="AL14" i="1"/>
  <c r="AL35" i="1"/>
  <c r="Z122" i="1"/>
  <c r="AM5" i="1" l="1"/>
  <c r="AB91" i="1"/>
  <c r="AB92" i="1"/>
  <c r="AB94" i="1"/>
  <c r="AB95" i="1"/>
  <c r="AB93" i="1"/>
  <c r="AB96" i="1"/>
  <c r="P6" i="1"/>
  <c r="AA125" i="1"/>
  <c r="AA127" i="1" s="1"/>
  <c r="AA23" i="1" s="1"/>
  <c r="Z22" i="1"/>
  <c r="AD69" i="1"/>
  <c r="AE63" i="1"/>
  <c r="Q9" i="1"/>
  <c r="Q7" i="1"/>
  <c r="Q6" i="1" s="1"/>
  <c r="R8" i="1"/>
  <c r="Q5" i="1"/>
  <c r="AB125" i="1"/>
  <c r="AB127" i="1" s="1"/>
  <c r="AB23" i="1" s="1"/>
  <c r="AA22" i="1"/>
  <c r="AC179" i="1"/>
  <c r="AB180" i="1"/>
  <c r="AB29" i="1" s="1"/>
  <c r="O58" i="1"/>
  <c r="P50" i="1"/>
  <c r="O20" i="1"/>
  <c r="AC81" i="1"/>
  <c r="AC97" i="1" s="1"/>
  <c r="AC15" i="1"/>
  <c r="AF148" i="1"/>
  <c r="AE149" i="1"/>
  <c r="AE161" i="1"/>
  <c r="AE162" i="1" s="1"/>
  <c r="AE26" i="1" s="1"/>
  <c r="P164" i="1"/>
  <c r="P134" i="1"/>
  <c r="P177" i="1"/>
  <c r="P141" i="1"/>
  <c r="P129" i="1"/>
  <c r="P124" i="1"/>
  <c r="P101" i="1"/>
  <c r="P76" i="1"/>
  <c r="P83" i="1"/>
  <c r="P62" i="1"/>
  <c r="P52" i="1"/>
  <c r="P71" i="1"/>
  <c r="P35" i="1"/>
  <c r="P10" i="1"/>
  <c r="P46" i="1"/>
  <c r="P14" i="1"/>
  <c r="AB120" i="1"/>
  <c r="AC110" i="1"/>
  <c r="AD119" i="1"/>
  <c r="AE109" i="1"/>
  <c r="AC111" i="1"/>
  <c r="AB121" i="1"/>
  <c r="AE119" i="1" l="1"/>
  <c r="AF109" i="1"/>
  <c r="P58" i="1"/>
  <c r="Q50" i="1"/>
  <c r="P20" i="1"/>
  <c r="R9" i="1"/>
  <c r="S8" i="1"/>
  <c r="R5" i="1"/>
  <c r="R7" i="1"/>
  <c r="R6" i="1" s="1"/>
  <c r="AE69" i="1"/>
  <c r="AF63" i="1"/>
  <c r="AC94" i="1"/>
  <c r="AC95" i="1"/>
  <c r="AC92" i="1"/>
  <c r="AC91" i="1"/>
  <c r="AC93" i="1"/>
  <c r="AC96" i="1"/>
  <c r="Q164" i="1"/>
  <c r="Q177" i="1"/>
  <c r="Q129" i="1"/>
  <c r="Q124" i="1"/>
  <c r="Q141" i="1"/>
  <c r="Q134" i="1"/>
  <c r="Q76" i="1"/>
  <c r="Q101" i="1"/>
  <c r="Q62" i="1"/>
  <c r="Q52" i="1"/>
  <c r="Q71" i="1"/>
  <c r="Q46" i="1"/>
  <c r="Q10" i="1"/>
  <c r="Q83" i="1"/>
  <c r="Q14" i="1"/>
  <c r="Q35" i="1"/>
  <c r="AD81" i="1"/>
  <c r="AD97" i="1" s="1"/>
  <c r="AD15" i="1"/>
  <c r="AM6" i="1"/>
  <c r="AM10" i="1" s="1"/>
  <c r="AD179" i="1"/>
  <c r="AC180" i="1"/>
  <c r="AC29" i="1" s="1"/>
  <c r="AB122" i="1"/>
  <c r="AD111" i="1"/>
  <c r="AC121" i="1"/>
  <c r="AF149" i="1"/>
  <c r="AG148" i="1"/>
  <c r="AF161" i="1"/>
  <c r="AF162" i="1" s="1"/>
  <c r="AF26" i="1" s="1"/>
  <c r="AD110" i="1"/>
  <c r="AC120" i="1"/>
  <c r="AD121" i="1" l="1"/>
  <c r="AE111" i="1"/>
  <c r="Q58" i="1"/>
  <c r="R50" i="1"/>
  <c r="Q20" i="1"/>
  <c r="AD93" i="1"/>
  <c r="AD94" i="1"/>
  <c r="AD91" i="1"/>
  <c r="AD96" i="1"/>
  <c r="AD92" i="1"/>
  <c r="AD95" i="1"/>
  <c r="R141" i="1"/>
  <c r="R129" i="1"/>
  <c r="R134" i="1"/>
  <c r="R177" i="1"/>
  <c r="R124" i="1"/>
  <c r="R164" i="1"/>
  <c r="R76" i="1"/>
  <c r="R101" i="1"/>
  <c r="R52" i="1"/>
  <c r="R71" i="1"/>
  <c r="R46" i="1"/>
  <c r="R62" i="1"/>
  <c r="R83" i="1"/>
  <c r="R14" i="1"/>
  <c r="R35" i="1"/>
  <c r="R10" i="1"/>
  <c r="AF69" i="1"/>
  <c r="AG63" i="1"/>
  <c r="AC125" i="1"/>
  <c r="AC127" i="1" s="1"/>
  <c r="AC23" i="1" s="1"/>
  <c r="AB22" i="1"/>
  <c r="AD180" i="1"/>
  <c r="AD29" i="1" s="1"/>
  <c r="AE179" i="1"/>
  <c r="AE81" i="1"/>
  <c r="AE97" i="1" s="1"/>
  <c r="AE15" i="1"/>
  <c r="AG109" i="1"/>
  <c r="AF119" i="1"/>
  <c r="AC122" i="1"/>
  <c r="AM177" i="1"/>
  <c r="AM164" i="1"/>
  <c r="AM134" i="1"/>
  <c r="AM129" i="1"/>
  <c r="AM124" i="1"/>
  <c r="AM141" i="1"/>
  <c r="AM76" i="1"/>
  <c r="AM101" i="1"/>
  <c r="AM83" i="1"/>
  <c r="AM71" i="1"/>
  <c r="AM46" i="1"/>
  <c r="AM62" i="1"/>
  <c r="AM14" i="1"/>
  <c r="AM52" i="1"/>
  <c r="AM35" i="1"/>
  <c r="AE110" i="1"/>
  <c r="AD120" i="1"/>
  <c r="AH148" i="1"/>
  <c r="AG149" i="1"/>
  <c r="AG161" i="1"/>
  <c r="AG162" i="1" s="1"/>
  <c r="AG26" i="1" s="1"/>
  <c r="T8" i="1"/>
  <c r="S9" i="1"/>
  <c r="S5" i="1"/>
  <c r="S7" i="1"/>
  <c r="S6" i="1" s="1"/>
  <c r="AN6" i="1" s="1"/>
  <c r="T5" i="1" l="1"/>
  <c r="T9" i="1"/>
  <c r="T7" i="1"/>
  <c r="T6" i="1" s="1"/>
  <c r="U8" i="1"/>
  <c r="AH109" i="1"/>
  <c r="AH119" i="1" s="1"/>
  <c r="AG119" i="1"/>
  <c r="AF81" i="1"/>
  <c r="AF97" i="1" s="1"/>
  <c r="AF15" i="1"/>
  <c r="AE95" i="1"/>
  <c r="AE92" i="1"/>
  <c r="AE96" i="1"/>
  <c r="AE94" i="1"/>
  <c r="AE91" i="1"/>
  <c r="AE93" i="1"/>
  <c r="R58" i="1"/>
  <c r="S50" i="1"/>
  <c r="R20" i="1"/>
  <c r="AD122" i="1"/>
  <c r="AE180" i="1"/>
  <c r="AE29" i="1" s="1"/>
  <c r="AF179" i="1"/>
  <c r="S177" i="1"/>
  <c r="S164" i="1"/>
  <c r="S141" i="1"/>
  <c r="S134" i="1"/>
  <c r="S83" i="1"/>
  <c r="S129" i="1"/>
  <c r="S101" i="1"/>
  <c r="S52" i="1"/>
  <c r="S71" i="1"/>
  <c r="S46" i="1"/>
  <c r="S76" i="1"/>
  <c r="S124" i="1"/>
  <c r="S14" i="1"/>
  <c r="S35" i="1"/>
  <c r="S62" i="1"/>
  <c r="S10" i="1"/>
  <c r="AH63" i="1"/>
  <c r="AH69" i="1" s="1"/>
  <c r="AG69" i="1"/>
  <c r="AH149" i="1"/>
  <c r="AH161" i="1"/>
  <c r="AH162" i="1" s="1"/>
  <c r="AH26" i="1" s="1"/>
  <c r="AN5" i="1"/>
  <c r="AJ104" i="1" a="1"/>
  <c r="AJ104" i="1" s="1"/>
  <c r="AJ105" i="1" a="1"/>
  <c r="AJ105" i="1" s="1"/>
  <c r="AJ103" i="1" a="1"/>
  <c r="AJ103" i="1" s="1"/>
  <c r="AU103" i="1"/>
  <c r="AU105" i="1"/>
  <c r="AU104" i="1"/>
  <c r="AK104" i="1" a="1"/>
  <c r="AK104" i="1" s="1"/>
  <c r="AK105" i="1" a="1"/>
  <c r="AK105" i="1" s="1"/>
  <c r="AK103" i="1" a="1"/>
  <c r="AK103" i="1" s="1"/>
  <c r="AL104" i="1" a="1"/>
  <c r="AL104" i="1" s="1"/>
  <c r="AL105" i="1" a="1"/>
  <c r="AL105" i="1" s="1"/>
  <c r="AL103" i="1" a="1"/>
  <c r="AL103" i="1" s="1"/>
  <c r="AM103" i="1" a="1"/>
  <c r="AM103" i="1" s="1"/>
  <c r="AM105" i="1" a="1"/>
  <c r="AM105" i="1" s="1"/>
  <c r="AM104" i="1" a="1"/>
  <c r="AM104" i="1" s="1"/>
  <c r="AF110" i="1"/>
  <c r="AE120" i="1"/>
  <c r="AE121" i="1"/>
  <c r="AF111" i="1"/>
  <c r="AD125" i="1"/>
  <c r="AD127" i="1" s="1"/>
  <c r="AD23" i="1" s="1"/>
  <c r="AC22" i="1"/>
  <c r="AL106" i="1" l="1"/>
  <c r="AK106" i="1"/>
  <c r="AG110" i="1"/>
  <c r="AF120" i="1"/>
  <c r="AM106" i="1"/>
  <c r="AG81" i="1"/>
  <c r="AG97" i="1" s="1"/>
  <c r="AG15" i="1"/>
  <c r="S58" i="1"/>
  <c r="T50" i="1"/>
  <c r="S20" i="1"/>
  <c r="U9" i="1"/>
  <c r="U5" i="1"/>
  <c r="U7" i="1"/>
  <c r="U6" i="1" s="1"/>
  <c r="V8" i="1"/>
  <c r="AH81" i="1"/>
  <c r="AH97" i="1" s="1"/>
  <c r="AH15" i="1"/>
  <c r="AF121" i="1"/>
  <c r="AG111" i="1"/>
  <c r="AF180" i="1"/>
  <c r="AF29" i="1" s="1"/>
  <c r="AG179" i="1"/>
  <c r="T177" i="1"/>
  <c r="T164" i="1"/>
  <c r="T101" i="1"/>
  <c r="T134" i="1"/>
  <c r="T83" i="1"/>
  <c r="T129" i="1"/>
  <c r="T141" i="1"/>
  <c r="T71" i="1"/>
  <c r="T124" i="1"/>
  <c r="T52" i="1"/>
  <c r="T46" i="1"/>
  <c r="T76" i="1"/>
  <c r="T62" i="1"/>
  <c r="T14" i="1"/>
  <c r="T35" i="1"/>
  <c r="T10" i="1"/>
  <c r="AU106" i="1"/>
  <c r="AF92" i="1"/>
  <c r="AF93" i="1"/>
  <c r="AF91" i="1"/>
  <c r="AF94" i="1"/>
  <c r="AF96" i="1"/>
  <c r="AF95" i="1"/>
  <c r="AN105" i="1" a="1"/>
  <c r="AN105" i="1" s="1"/>
  <c r="AN104" i="1" a="1"/>
  <c r="AN104" i="1" s="1"/>
  <c r="AN103" i="1" a="1"/>
  <c r="AN103" i="1" s="1"/>
  <c r="AN106" i="1" s="1"/>
  <c r="AN10" i="1"/>
  <c r="AE122" i="1"/>
  <c r="AJ106" i="1"/>
  <c r="AE125" i="1"/>
  <c r="AE127" i="1" s="1"/>
  <c r="AE23" i="1" s="1"/>
  <c r="AD22" i="1"/>
  <c r="AH95" i="1" l="1"/>
  <c r="AH91" i="1"/>
  <c r="AH96" i="1"/>
  <c r="AH93" i="1"/>
  <c r="AH92" i="1"/>
  <c r="AH94" i="1"/>
  <c r="V9" i="1"/>
  <c r="V5" i="1"/>
  <c r="V7" i="1"/>
  <c r="V6" i="1" s="1"/>
  <c r="AO6" i="1" s="1"/>
  <c r="W8" i="1"/>
  <c r="AG95" i="1"/>
  <c r="AG91" i="1"/>
  <c r="AG94" i="1"/>
  <c r="AG92" i="1"/>
  <c r="AG93" i="1"/>
  <c r="AG96" i="1"/>
  <c r="AG180" i="1"/>
  <c r="AG29" i="1" s="1"/>
  <c r="AH179" i="1"/>
  <c r="AH180" i="1" s="1"/>
  <c r="AH29" i="1" s="1"/>
  <c r="AF125" i="1"/>
  <c r="AF127" i="1" s="1"/>
  <c r="AF23" i="1" s="1"/>
  <c r="AE22" i="1"/>
  <c r="T58" i="1"/>
  <c r="U50" i="1"/>
  <c r="T20" i="1"/>
  <c r="AN177" i="1"/>
  <c r="AN164" i="1"/>
  <c r="AN141" i="1"/>
  <c r="AN129" i="1"/>
  <c r="AN101" i="1"/>
  <c r="AN76" i="1"/>
  <c r="AN134" i="1"/>
  <c r="AN124" i="1"/>
  <c r="AN83" i="1"/>
  <c r="AN71" i="1"/>
  <c r="AN62" i="1"/>
  <c r="AN52" i="1"/>
  <c r="AN35" i="1"/>
  <c r="AN46" i="1"/>
  <c r="AN14" i="1"/>
  <c r="AG121" i="1"/>
  <c r="AH111" i="1"/>
  <c r="AH121" i="1" s="1"/>
  <c r="U177" i="1"/>
  <c r="U164" i="1"/>
  <c r="U134" i="1"/>
  <c r="U101" i="1"/>
  <c r="U83" i="1"/>
  <c r="U71" i="1"/>
  <c r="U129" i="1"/>
  <c r="U141" i="1"/>
  <c r="U124" i="1"/>
  <c r="U52" i="1"/>
  <c r="U46" i="1"/>
  <c r="U76" i="1"/>
  <c r="U62" i="1"/>
  <c r="U14" i="1"/>
  <c r="U35" i="1"/>
  <c r="U10" i="1"/>
  <c r="AF122" i="1"/>
  <c r="AG120" i="1"/>
  <c r="AG122" i="1" s="1"/>
  <c r="AH110" i="1"/>
  <c r="AH120" i="1" s="1"/>
  <c r="AH122" i="1" s="1"/>
  <c r="W9" i="1" l="1"/>
  <c r="W5" i="1"/>
  <c r="W7" i="1"/>
  <c r="W6" i="1" s="1"/>
  <c r="X8" i="1"/>
  <c r="AG125" i="1"/>
  <c r="AG127" i="1" s="1"/>
  <c r="AG23" i="1" s="1"/>
  <c r="AF22" i="1"/>
  <c r="U20" i="1"/>
  <c r="U58" i="1"/>
  <c r="V50" i="1"/>
  <c r="AO5" i="1"/>
  <c r="AH22" i="1"/>
  <c r="V177" i="1"/>
  <c r="V164" i="1"/>
  <c r="V134" i="1"/>
  <c r="V129" i="1"/>
  <c r="V124" i="1"/>
  <c r="V76" i="1"/>
  <c r="V141" i="1"/>
  <c r="V101" i="1"/>
  <c r="V83" i="1"/>
  <c r="V46" i="1"/>
  <c r="V71" i="1"/>
  <c r="V62" i="1"/>
  <c r="V14" i="1"/>
  <c r="V35" i="1"/>
  <c r="V10" i="1"/>
  <c r="V52" i="1"/>
  <c r="AH125" i="1"/>
  <c r="AH127" i="1" s="1"/>
  <c r="AH23" i="1" s="1"/>
  <c r="AG22" i="1"/>
  <c r="X9" i="1" l="1"/>
  <c r="X5" i="1"/>
  <c r="X7" i="1"/>
  <c r="X6" i="1" s="1"/>
  <c r="Y8" i="1"/>
  <c r="V20" i="1"/>
  <c r="V58" i="1"/>
  <c r="W50" i="1"/>
  <c r="AV103" i="1"/>
  <c r="AV105" i="1"/>
  <c r="AV104" i="1"/>
  <c r="W177" i="1"/>
  <c r="W164" i="1"/>
  <c r="W141" i="1"/>
  <c r="W101" i="1"/>
  <c r="W124" i="1"/>
  <c r="W76" i="1"/>
  <c r="W129" i="1"/>
  <c r="W134" i="1"/>
  <c r="W83" i="1"/>
  <c r="W71" i="1"/>
  <c r="W62" i="1"/>
  <c r="W35" i="1"/>
  <c r="W10" i="1"/>
  <c r="W52" i="1"/>
  <c r="W46" i="1"/>
  <c r="W14" i="1"/>
  <c r="AO10" i="1"/>
  <c r="Y9" i="1" l="1"/>
  <c r="Y7" i="1"/>
  <c r="Y6" i="1" s="1"/>
  <c r="AP6" i="1" s="1"/>
  <c r="Z8" i="1"/>
  <c r="Y5" i="1"/>
  <c r="AV106" i="1"/>
  <c r="AO164" i="1"/>
  <c r="AO177" i="1"/>
  <c r="AO134" i="1"/>
  <c r="AO141" i="1"/>
  <c r="AO124" i="1"/>
  <c r="AO101" i="1"/>
  <c r="AO129" i="1"/>
  <c r="AO83" i="1"/>
  <c r="AO76" i="1"/>
  <c r="AO62" i="1"/>
  <c r="AO71" i="1"/>
  <c r="AO52" i="1"/>
  <c r="AO35" i="1"/>
  <c r="AO46" i="1"/>
  <c r="AO14" i="1"/>
  <c r="X164" i="1"/>
  <c r="X134" i="1"/>
  <c r="X141" i="1"/>
  <c r="X177" i="1"/>
  <c r="X124" i="1"/>
  <c r="X129" i="1"/>
  <c r="X101" i="1"/>
  <c r="X83" i="1"/>
  <c r="X71" i="1"/>
  <c r="X76" i="1"/>
  <c r="X62" i="1"/>
  <c r="X52" i="1"/>
  <c r="X35" i="1"/>
  <c r="X10" i="1"/>
  <c r="X46" i="1"/>
  <c r="X14" i="1"/>
  <c r="W58" i="1"/>
  <c r="X50" i="1"/>
  <c r="W20" i="1"/>
  <c r="AP5" i="1" l="1"/>
  <c r="X58" i="1"/>
  <c r="Y50" i="1"/>
  <c r="X20" i="1"/>
  <c r="Z9" i="1"/>
  <c r="AA8" i="1"/>
  <c r="Z5" i="1"/>
  <c r="Z7" i="1"/>
  <c r="Z6" i="1" s="1"/>
  <c r="AP10" i="1"/>
  <c r="Y164" i="1"/>
  <c r="Y129" i="1"/>
  <c r="Y177" i="1"/>
  <c r="Y124" i="1"/>
  <c r="Y141" i="1"/>
  <c r="Y101" i="1"/>
  <c r="Y134" i="1"/>
  <c r="Y83" i="1"/>
  <c r="Y76" i="1"/>
  <c r="Y62" i="1"/>
  <c r="Y52" i="1"/>
  <c r="Y46" i="1"/>
  <c r="Y10" i="1"/>
  <c r="Y14" i="1"/>
  <c r="Y71" i="1"/>
  <c r="Y35" i="1"/>
  <c r="AB8" i="1" l="1"/>
  <c r="AA9" i="1"/>
  <c r="AA5" i="1"/>
  <c r="AA7" i="1"/>
  <c r="AA6" i="1" s="1"/>
  <c r="Z141" i="1"/>
  <c r="Z164" i="1"/>
  <c r="Z177" i="1"/>
  <c r="Z129" i="1"/>
  <c r="Z101" i="1"/>
  <c r="Z124" i="1"/>
  <c r="Z134" i="1"/>
  <c r="Z83" i="1"/>
  <c r="Z76" i="1"/>
  <c r="Z52" i="1"/>
  <c r="Z46" i="1"/>
  <c r="Z14" i="1"/>
  <c r="Z71" i="1"/>
  <c r="Z62" i="1"/>
  <c r="Z35" i="1"/>
  <c r="Z10" i="1"/>
  <c r="Y58" i="1"/>
  <c r="Z50" i="1"/>
  <c r="Y20" i="1"/>
  <c r="AP104" i="1" a="1"/>
  <c r="AP104" i="1" s="1"/>
  <c r="AP105" i="1" a="1"/>
  <c r="AP105" i="1" s="1"/>
  <c r="AP103" i="1" a="1"/>
  <c r="AP103" i="1" s="1"/>
  <c r="AP164" i="1"/>
  <c r="AP129" i="1"/>
  <c r="AP124" i="1"/>
  <c r="AP177" i="1"/>
  <c r="AP141" i="1"/>
  <c r="AP134" i="1"/>
  <c r="AP101" i="1"/>
  <c r="AP62" i="1"/>
  <c r="AP83" i="1"/>
  <c r="AP76" i="1"/>
  <c r="AP71" i="1"/>
  <c r="AP52" i="1"/>
  <c r="AP46" i="1"/>
  <c r="AP14" i="1"/>
  <c r="AP35" i="1"/>
  <c r="AP106" i="1" l="1"/>
  <c r="Z58" i="1"/>
  <c r="AA50" i="1"/>
  <c r="Z20" i="1"/>
  <c r="AO105" i="1" a="1"/>
  <c r="AO105" i="1" s="1"/>
  <c r="AO103" i="1" a="1"/>
  <c r="AO103" i="1" s="1"/>
  <c r="AO104" i="1" a="1"/>
  <c r="AO104" i="1" s="1"/>
  <c r="AA177" i="1"/>
  <c r="AA164" i="1"/>
  <c r="AA129" i="1"/>
  <c r="AA141" i="1"/>
  <c r="AA134" i="1"/>
  <c r="AA101" i="1"/>
  <c r="AA83" i="1"/>
  <c r="AA124" i="1"/>
  <c r="AA76" i="1"/>
  <c r="AA52" i="1"/>
  <c r="AA46" i="1"/>
  <c r="AA71" i="1"/>
  <c r="AA14" i="1"/>
  <c r="AA62" i="1"/>
  <c r="AA35" i="1"/>
  <c r="AA10" i="1"/>
  <c r="AC8" i="1"/>
  <c r="AB9" i="1"/>
  <c r="AB5" i="1"/>
  <c r="AB7" i="1"/>
  <c r="AB6" i="1" s="1"/>
  <c r="AQ6" i="1" s="1"/>
  <c r="AO106" i="1" l="1"/>
  <c r="AB177" i="1"/>
  <c r="AB164" i="1"/>
  <c r="AB129" i="1"/>
  <c r="AB141" i="1"/>
  <c r="AB134" i="1"/>
  <c r="AB101" i="1"/>
  <c r="AB83" i="1"/>
  <c r="AB124" i="1"/>
  <c r="AB76" i="1"/>
  <c r="AB52" i="1"/>
  <c r="AB46" i="1"/>
  <c r="AB71" i="1"/>
  <c r="AB62" i="1"/>
  <c r="AB14" i="1"/>
  <c r="AB35" i="1"/>
  <c r="AB10" i="1"/>
  <c r="AQ5" i="1"/>
  <c r="AA58" i="1"/>
  <c r="AB50" i="1"/>
  <c r="AA20" i="1"/>
  <c r="AD8" i="1"/>
  <c r="AC9" i="1"/>
  <c r="AC5" i="1"/>
  <c r="AC7" i="1"/>
  <c r="AC6" i="1" s="1"/>
  <c r="AQ103" i="1" l="1" a="1"/>
  <c r="AQ103" i="1" s="1"/>
  <c r="AQ104" i="1" a="1"/>
  <c r="AQ104" i="1" s="1"/>
  <c r="AQ105" i="1" a="1"/>
  <c r="AQ105" i="1" s="1"/>
  <c r="AC177" i="1"/>
  <c r="AC164" i="1"/>
  <c r="AC134" i="1"/>
  <c r="AC141" i="1"/>
  <c r="AC101" i="1"/>
  <c r="AC129" i="1"/>
  <c r="AC83" i="1"/>
  <c r="AC124" i="1"/>
  <c r="AC71" i="1"/>
  <c r="AC76" i="1"/>
  <c r="AC52" i="1"/>
  <c r="AC46" i="1"/>
  <c r="AC62" i="1"/>
  <c r="AC14" i="1"/>
  <c r="AC35" i="1"/>
  <c r="AC10" i="1"/>
  <c r="AE8" i="1"/>
  <c r="AD9" i="1"/>
  <c r="AD5" i="1"/>
  <c r="AD7" i="1"/>
  <c r="AD6" i="1" s="1"/>
  <c r="AB58" i="1"/>
  <c r="AC50" i="1"/>
  <c r="AB20" i="1"/>
  <c r="AQ10" i="1"/>
  <c r="AQ141" i="1" l="1"/>
  <c r="AQ164" i="1"/>
  <c r="AQ134" i="1"/>
  <c r="AQ124" i="1"/>
  <c r="AQ177" i="1"/>
  <c r="AQ129" i="1"/>
  <c r="AQ101" i="1"/>
  <c r="AQ83" i="1"/>
  <c r="AQ76" i="1"/>
  <c r="AQ71" i="1"/>
  <c r="AQ52" i="1"/>
  <c r="AQ46" i="1"/>
  <c r="AQ62" i="1"/>
  <c r="AQ14" i="1"/>
  <c r="AQ35" i="1"/>
  <c r="AQ106" i="1"/>
  <c r="AD177" i="1"/>
  <c r="AD164" i="1"/>
  <c r="AD134" i="1"/>
  <c r="AD129" i="1"/>
  <c r="AD141" i="1"/>
  <c r="AD124" i="1"/>
  <c r="AD76" i="1"/>
  <c r="AD101" i="1"/>
  <c r="AD71" i="1"/>
  <c r="AD46" i="1"/>
  <c r="AD62" i="1"/>
  <c r="AD83" i="1"/>
  <c r="AD14" i="1"/>
  <c r="AD35" i="1"/>
  <c r="AD10" i="1"/>
  <c r="AD52" i="1"/>
  <c r="AC58" i="1"/>
  <c r="AC20" i="1"/>
  <c r="AD50" i="1"/>
  <c r="AF8" i="1"/>
  <c r="AE9" i="1"/>
  <c r="AE5" i="1"/>
  <c r="AE7" i="1"/>
  <c r="AE6" i="1" s="1"/>
  <c r="AD20" i="1" l="1"/>
  <c r="AE50" i="1"/>
  <c r="AD58" i="1"/>
  <c r="AE177" i="1"/>
  <c r="AE164" i="1"/>
  <c r="AE141" i="1"/>
  <c r="AE101" i="1"/>
  <c r="AE134" i="1"/>
  <c r="AE124" i="1"/>
  <c r="AE76" i="1"/>
  <c r="AE129" i="1"/>
  <c r="AE62" i="1"/>
  <c r="AE71" i="1"/>
  <c r="AE83" i="1"/>
  <c r="AE35" i="1"/>
  <c r="AE10" i="1"/>
  <c r="AE52" i="1"/>
  <c r="AE46" i="1"/>
  <c r="AE14" i="1"/>
  <c r="AF9" i="1"/>
  <c r="AG8" i="1"/>
  <c r="AF5" i="1"/>
  <c r="AF7" i="1"/>
  <c r="AF6" i="1" s="1"/>
  <c r="AE58" i="1" l="1"/>
  <c r="AF50" i="1"/>
  <c r="AE20" i="1"/>
  <c r="AG9" i="1"/>
  <c r="AG7" i="1"/>
  <c r="AG6" i="1" s="1"/>
  <c r="AH8" i="1"/>
  <c r="AG5" i="1"/>
  <c r="AF164" i="1"/>
  <c r="AF134" i="1"/>
  <c r="AF141" i="1"/>
  <c r="AF177" i="1"/>
  <c r="AF124" i="1"/>
  <c r="AF129" i="1"/>
  <c r="AF62" i="1"/>
  <c r="AF71" i="1"/>
  <c r="AF83" i="1"/>
  <c r="AF52" i="1"/>
  <c r="AF101" i="1"/>
  <c r="AF35" i="1"/>
  <c r="AF10" i="1"/>
  <c r="AF46" i="1"/>
  <c r="AF76" i="1"/>
  <c r="AF14" i="1"/>
  <c r="AH9" i="1" l="1"/>
  <c r="AH5" i="1"/>
  <c r="AH7" i="1"/>
  <c r="AF58" i="1"/>
  <c r="AG50" i="1"/>
  <c r="AF20" i="1"/>
  <c r="AG164" i="1"/>
  <c r="AG129" i="1"/>
  <c r="AG124" i="1"/>
  <c r="AG177" i="1"/>
  <c r="AG134" i="1"/>
  <c r="AG141" i="1"/>
  <c r="AG83" i="1"/>
  <c r="AG62" i="1"/>
  <c r="AG71" i="1"/>
  <c r="AG52" i="1"/>
  <c r="AG101" i="1"/>
  <c r="AG46" i="1"/>
  <c r="AG10" i="1"/>
  <c r="AG76" i="1"/>
  <c r="AG14" i="1"/>
  <c r="AG35" i="1"/>
  <c r="AU92" i="1" l="1" a="1"/>
  <c r="AU92" i="1" s="1"/>
  <c r="AW127" i="1" a="1"/>
  <c r="AW127" i="1" s="1"/>
  <c r="AU16" i="1" a="1"/>
  <c r="AU16" i="1" s="1"/>
  <c r="AU121" i="1" a="1"/>
  <c r="AU121" i="1" s="1"/>
  <c r="AU111" i="1" s="1"/>
  <c r="AU17" i="1" a="1"/>
  <c r="AU17" i="1" s="1"/>
  <c r="AU37" i="1" a="1"/>
  <c r="AU37" i="1" s="1"/>
  <c r="AU95" i="1" a="1"/>
  <c r="AU95" i="1" s="1"/>
  <c r="AU72" i="1" a="1"/>
  <c r="AU72" i="1" s="1"/>
  <c r="AU63" i="1" a="1"/>
  <c r="AU63" i="1" s="1"/>
  <c r="AU26" i="1" a="1"/>
  <c r="AU26" i="1" s="1"/>
  <c r="AU77" i="1" a="1"/>
  <c r="AU77" i="1" s="1"/>
  <c r="AU67" i="1" a="1"/>
  <c r="AU67" i="1" s="1"/>
  <c r="AU159" i="1" a="1"/>
  <c r="AU159" i="1" s="1"/>
  <c r="AU36" i="1" a="1"/>
  <c r="AU36" i="1" s="1"/>
  <c r="AU96" i="1" a="1"/>
  <c r="AU96" i="1" s="1"/>
  <c r="AU180" i="1" a="1"/>
  <c r="AU180" i="1" s="1"/>
  <c r="AU19" i="1" a="1"/>
  <c r="AU19" i="1" s="1"/>
  <c r="AU74" i="1" a="1"/>
  <c r="AU74" i="1" s="1"/>
  <c r="AU21" i="1" a="1"/>
  <c r="AU21" i="1" s="1"/>
  <c r="AU120" i="1" a="1"/>
  <c r="AU120" i="1" s="1"/>
  <c r="AU110" i="1" s="1"/>
  <c r="AU9" i="1"/>
  <c r="AU28" i="1" a="1"/>
  <c r="AU28" i="1" s="1"/>
  <c r="AU91" i="1" a="1"/>
  <c r="AU91" i="1" s="1"/>
  <c r="AU56" i="1" a="1"/>
  <c r="AU56" i="1" s="1"/>
  <c r="AV56" i="1" a="1"/>
  <c r="AV56" i="1" s="1"/>
  <c r="AU38" i="1" a="1"/>
  <c r="AU38" i="1" s="1"/>
  <c r="AU168" i="1" a="1"/>
  <c r="AU168" i="1" s="1"/>
  <c r="AU15" i="1" a="1"/>
  <c r="AU15" i="1" s="1"/>
  <c r="AW29" i="1" a="1"/>
  <c r="AW29" i="1" s="1"/>
  <c r="AV180" i="1" a="1"/>
  <c r="AV180" i="1" s="1"/>
  <c r="AV120" i="1" a="1"/>
  <c r="AV120" i="1" s="1"/>
  <c r="AV110" i="1" s="1"/>
  <c r="AV36" i="1" a="1"/>
  <c r="AV36" i="1" s="1"/>
  <c r="AV15" i="1" a="1"/>
  <c r="AV15" i="1" s="1"/>
  <c r="AV29" i="1" a="1"/>
  <c r="AV29" i="1" s="1"/>
  <c r="AW17" i="1" a="1"/>
  <c r="AW17" i="1" s="1"/>
  <c r="AU173" i="1" a="1"/>
  <c r="AU173" i="1" s="1"/>
  <c r="AV19" i="1" a="1"/>
  <c r="AV19" i="1" s="1"/>
  <c r="AW74" i="1" a="1"/>
  <c r="AW74" i="1" s="1"/>
  <c r="AW168" i="1" a="1"/>
  <c r="AW168" i="1" s="1"/>
  <c r="AW144" i="1" a="1"/>
  <c r="AW144" i="1" s="1"/>
  <c r="AW22" i="1" a="1"/>
  <c r="AW22" i="1" s="1"/>
  <c r="AV168" i="1" a="1"/>
  <c r="AV168" i="1" s="1"/>
  <c r="AU154" i="1" a="1"/>
  <c r="AU154" i="1" s="1"/>
  <c r="AW16" i="1" a="1"/>
  <c r="AW16" i="1" s="1"/>
  <c r="AU39" i="1" a="1"/>
  <c r="AU39" i="1" s="1"/>
  <c r="AU79" i="1" a="1"/>
  <c r="AU79" i="1" s="1"/>
  <c r="AU127" i="1" a="1"/>
  <c r="AU127" i="1" s="1"/>
  <c r="AW37" i="1" a="1"/>
  <c r="AW37" i="1" s="1"/>
  <c r="AV159" i="1" a="1"/>
  <c r="AV159" i="1" s="1"/>
  <c r="AU22" i="1" a="1"/>
  <c r="AU22" i="1" s="1"/>
  <c r="AU29" i="1" a="1"/>
  <c r="AU29" i="1" s="1"/>
  <c r="AW77" i="1" a="1"/>
  <c r="AW77" i="1" s="1"/>
  <c r="AV173" i="1" a="1"/>
  <c r="AV173" i="1" s="1"/>
  <c r="AV77" i="1" a="1"/>
  <c r="AV77" i="1" s="1"/>
  <c r="AV22" i="1" a="1"/>
  <c r="AV22" i="1" s="1"/>
  <c r="AW56" i="1" a="1"/>
  <c r="AW56" i="1" s="1"/>
  <c r="AU93" i="1" a="1"/>
  <c r="AU93" i="1" s="1"/>
  <c r="AW119" i="1" a="1"/>
  <c r="AW119" i="1" s="1"/>
  <c r="AV121" i="1" a="1"/>
  <c r="AV121" i="1" s="1"/>
  <c r="AV111" i="1" s="1"/>
  <c r="AW173" i="1" a="1"/>
  <c r="AW173" i="1" s="1"/>
  <c r="AW121" i="1" a="1"/>
  <c r="AW121" i="1" s="1"/>
  <c r="AW149" i="1" a="1"/>
  <c r="AW149" i="1" s="1"/>
  <c r="AV92" i="1" a="1"/>
  <c r="AV92" i="1" s="1"/>
  <c r="AW72" i="1" a="1"/>
  <c r="AW72" i="1" s="1"/>
  <c r="AW28" i="1" a="1"/>
  <c r="AW28" i="1" s="1"/>
  <c r="AV95" i="1" a="1"/>
  <c r="AV95" i="1" s="1"/>
  <c r="BK144" i="1" a="1"/>
  <c r="BK144" i="1" s="1"/>
  <c r="AV144" i="1" a="1"/>
  <c r="AV144" i="1" s="1"/>
  <c r="AV16" i="1" a="1"/>
  <c r="AV16" i="1" s="1"/>
  <c r="AW96" i="1" a="1"/>
  <c r="AW96" i="1" s="1"/>
  <c r="AV74" i="1" a="1"/>
  <c r="AV74" i="1" s="1"/>
  <c r="AV154" i="1" a="1"/>
  <c r="AV154" i="1" s="1"/>
  <c r="AW21" i="1" a="1"/>
  <c r="AW21" i="1" s="1"/>
  <c r="AV37" i="1" a="1"/>
  <c r="AV37" i="1" s="1"/>
  <c r="AW159" i="1" a="1"/>
  <c r="AW159" i="1" s="1"/>
  <c r="AW26" i="1" a="1"/>
  <c r="AW26" i="1" s="1"/>
  <c r="AU144" i="1" a="1"/>
  <c r="AU144" i="1" s="1"/>
  <c r="AW91" i="1" a="1"/>
  <c r="AW91" i="1" s="1"/>
  <c r="AU119" i="1" a="1"/>
  <c r="AU119" i="1" s="1"/>
  <c r="AW120" i="1" a="1"/>
  <c r="AW120" i="1" s="1"/>
  <c r="AV17" i="1" a="1"/>
  <c r="AV17" i="1" s="1"/>
  <c r="AV93" i="1" a="1"/>
  <c r="AV93" i="1" s="1"/>
  <c r="AW63" i="1" a="1"/>
  <c r="AW63" i="1" s="1"/>
  <c r="AV91" i="1" a="1"/>
  <c r="AV91" i="1" s="1"/>
  <c r="AU23" i="1" a="1"/>
  <c r="AU23" i="1" s="1"/>
  <c r="AU149" i="1" a="1"/>
  <c r="AU149" i="1" s="1"/>
  <c r="AU161" i="1" s="1"/>
  <c r="AW95" i="1" a="1"/>
  <c r="AW95" i="1" s="1"/>
  <c r="AU94" i="1" a="1"/>
  <c r="AU94" i="1" s="1"/>
  <c r="AV38" i="1" a="1"/>
  <c r="AV38" i="1" s="1"/>
  <c r="AV96" i="1" a="1"/>
  <c r="AV96" i="1" s="1"/>
  <c r="AV23" i="1" a="1"/>
  <c r="AV23" i="1" s="1"/>
  <c r="AW67" i="1" a="1"/>
  <c r="AW67" i="1" s="1"/>
  <c r="AV119" i="1" a="1"/>
  <c r="AV119" i="1" s="1"/>
  <c r="AV28" i="1" a="1"/>
  <c r="AV28" i="1" s="1"/>
  <c r="AV9" i="1"/>
  <c r="AW23" i="1" a="1"/>
  <c r="AW23" i="1" s="1"/>
  <c r="AV79" i="1" a="1"/>
  <c r="AV79" i="1" s="1"/>
  <c r="AV149" i="1" a="1"/>
  <c r="AV149" i="1" s="1"/>
  <c r="AV72" i="1" a="1"/>
  <c r="AV72" i="1" s="1"/>
  <c r="AV67" i="1" a="1"/>
  <c r="AV67" i="1" s="1"/>
  <c r="AW94" i="1" a="1"/>
  <c r="AW94" i="1" s="1"/>
  <c r="AV26" i="1" a="1"/>
  <c r="AV26" i="1" s="1"/>
  <c r="AW19" i="1" a="1"/>
  <c r="AW19" i="1" s="1"/>
  <c r="AV39" i="1" a="1"/>
  <c r="AV39" i="1" s="1"/>
  <c r="AV21" i="1" a="1"/>
  <c r="AV21" i="1" s="1"/>
  <c r="AV127" i="1" a="1"/>
  <c r="AV127" i="1" s="1"/>
  <c r="AW36" i="1" a="1"/>
  <c r="AW36" i="1" s="1"/>
  <c r="AW154" i="1" a="1"/>
  <c r="AW154" i="1" s="1"/>
  <c r="AV94" i="1" a="1"/>
  <c r="AV94" i="1" s="1"/>
  <c r="AW39" i="1" a="1"/>
  <c r="AW39" i="1" s="1"/>
  <c r="AW38" i="1" a="1"/>
  <c r="AW38" i="1" s="1"/>
  <c r="AW180" i="1" a="1"/>
  <c r="AW180" i="1" s="1"/>
  <c r="AW92" i="1" a="1"/>
  <c r="AW92" i="1" s="1"/>
  <c r="AW15" i="1" a="1"/>
  <c r="AW15" i="1" s="1"/>
  <c r="AW93" i="1" a="1"/>
  <c r="AW93" i="1" s="1"/>
  <c r="AW79" i="1" a="1"/>
  <c r="AW79" i="1" s="1"/>
  <c r="AV63" i="1" a="1"/>
  <c r="AV63" i="1" s="1"/>
  <c r="AV69" i="1" s="1"/>
  <c r="AW9" i="1"/>
  <c r="AN91" i="1" a="1"/>
  <c r="AN91" i="1" s="1"/>
  <c r="AW104" i="1"/>
  <c r="AW105" i="1"/>
  <c r="AW103" i="1"/>
  <c r="AR104" i="1" a="1"/>
  <c r="AR104" i="1" s="1"/>
  <c r="AR103" i="1" a="1"/>
  <c r="AR103" i="1" s="1"/>
  <c r="AR105" i="1" a="1"/>
  <c r="AR105" i="1" s="1"/>
  <c r="AP168" i="1" a="1"/>
  <c r="AP168" i="1" s="1"/>
  <c r="AQ149" i="1" a="1"/>
  <c r="AQ149" i="1" s="1"/>
  <c r="AH164" i="1"/>
  <c r="AH141" i="1"/>
  <c r="AH177" i="1"/>
  <c r="AH124" i="1"/>
  <c r="AH134" i="1"/>
  <c r="AH129" i="1"/>
  <c r="AH83" i="1"/>
  <c r="AH101" i="1"/>
  <c r="AH71" i="1"/>
  <c r="AH52" i="1"/>
  <c r="AH46" i="1"/>
  <c r="AH76" i="1"/>
  <c r="AH62" i="1"/>
  <c r="AH14" i="1"/>
  <c r="AH35" i="1"/>
  <c r="AH10" i="1"/>
  <c r="AQ120" i="1" a="1"/>
  <c r="AQ120" i="1" s="1"/>
  <c r="AQ110" i="1" s="1"/>
  <c r="AG58" i="1"/>
  <c r="AH50" i="1"/>
  <c r="AG20" i="1"/>
  <c r="AH6" i="1"/>
  <c r="AS154" i="1" s="1" a="1"/>
  <c r="AS154" i="1" s="1"/>
  <c r="BE143" i="1" a="1"/>
  <c r="BE143" i="1" s="1"/>
  <c r="BA143" i="1" a="1"/>
  <c r="BA143" i="1" s="1"/>
  <c r="BB143" i="1" a="1"/>
  <c r="BB143" i="1" s="1"/>
  <c r="BA144" i="1" a="1"/>
  <c r="BA144" i="1" s="1"/>
  <c r="BB144" i="1" a="1"/>
  <c r="BB144" i="1" s="1"/>
  <c r="BD143" i="1" a="1"/>
  <c r="BD143" i="1" s="1"/>
  <c r="BC143" i="1" a="1"/>
  <c r="BC143" i="1" s="1"/>
  <c r="BG144" i="1" a="1"/>
  <c r="BG144" i="1" s="1"/>
  <c r="BE144" i="1" a="1"/>
  <c r="BE144" i="1" s="1"/>
  <c r="BC144" i="1" a="1"/>
  <c r="BC144" i="1" s="1"/>
  <c r="BD144" i="1" a="1"/>
  <c r="BD144" i="1" s="1"/>
  <c r="BF143" i="1" a="1"/>
  <c r="BF143" i="1" s="1"/>
  <c r="BH144" i="1" a="1"/>
  <c r="BH144" i="1" s="1"/>
  <c r="BH143" i="1" a="1"/>
  <c r="BH143" i="1" s="1"/>
  <c r="BF144" i="1" a="1"/>
  <c r="BF144" i="1" s="1"/>
  <c r="BG143" i="1" a="1"/>
  <c r="BG143" i="1" s="1"/>
  <c r="BI144" i="1" a="1"/>
  <c r="BI144" i="1" s="1"/>
  <c r="BJ143" i="1" a="1"/>
  <c r="BJ143" i="1" s="1"/>
  <c r="BL144" i="1" a="1"/>
  <c r="BL144" i="1" s="1"/>
  <c r="BJ144" i="1" a="1"/>
  <c r="BJ144" i="1" s="1"/>
  <c r="BI143" i="1" a="1"/>
  <c r="BI143" i="1" s="1"/>
  <c r="BK143" i="1" a="1"/>
  <c r="BK143" i="1" s="1"/>
  <c r="BL143" i="1" a="1"/>
  <c r="BL143" i="1" s="1"/>
  <c r="AQ63" i="1" a="1"/>
  <c r="AQ63" i="1" s="1"/>
  <c r="AW161" i="1" l="1"/>
  <c r="AU175" i="1"/>
  <c r="AW106" i="1"/>
  <c r="AV175" i="1"/>
  <c r="AN173" i="1" a="1"/>
  <c r="AN173" i="1" s="1"/>
  <c r="AM74" i="1" a="1"/>
  <c r="AM74" i="1" s="1"/>
  <c r="AL26" i="1" a="1"/>
  <c r="AL26" i="1" s="1"/>
  <c r="AU122" i="1"/>
  <c r="AU109" i="1"/>
  <c r="AP79" i="1" a="1"/>
  <c r="AP79" i="1" s="1"/>
  <c r="AP92" i="1" a="1"/>
  <c r="AP92" i="1" s="1"/>
  <c r="AN154" i="1" a="1"/>
  <c r="AN154" i="1" s="1"/>
  <c r="AN37" i="1" a="1"/>
  <c r="AN37" i="1" s="1"/>
  <c r="AM21" i="1" a="1"/>
  <c r="AM21" i="1" s="1"/>
  <c r="AM159" i="1" a="1"/>
  <c r="AM159" i="1" s="1"/>
  <c r="AM15" i="1" a="1"/>
  <c r="AM15" i="1" s="1"/>
  <c r="AM91" i="1" a="1"/>
  <c r="AM91" i="1" s="1"/>
  <c r="AM77" i="1" a="1"/>
  <c r="AM77" i="1" s="1"/>
  <c r="AL154" i="1" a="1"/>
  <c r="AL154" i="1" s="1"/>
  <c r="AL17" i="1" a="1"/>
  <c r="AL17" i="1" s="1"/>
  <c r="AL16" i="1" a="1"/>
  <c r="AL16" i="1" s="1"/>
  <c r="AL37" i="1" a="1"/>
  <c r="AL37" i="1" s="1"/>
  <c r="AL28" i="1" a="1"/>
  <c r="AL28" i="1" s="1"/>
  <c r="AL121" i="1" a="1"/>
  <c r="AL121" i="1" s="1"/>
  <c r="AL111" i="1" s="1"/>
  <c r="AV109" i="1"/>
  <c r="AV122" i="1"/>
  <c r="AW97" i="1"/>
  <c r="AW84" i="1" s="1"/>
  <c r="AV18" i="1"/>
  <c r="AK72" i="1" a="1"/>
  <c r="AK72" i="1" s="1"/>
  <c r="AK144" i="1" a="1"/>
  <c r="AK144" i="1" s="1"/>
  <c r="AK74" i="1" a="1"/>
  <c r="AK74" i="1" s="1"/>
  <c r="AJ36" i="1" a="1"/>
  <c r="AJ36" i="1" s="1"/>
  <c r="AS15" i="1" a="1"/>
  <c r="AS15" i="1" s="1"/>
  <c r="AJ95" i="1" a="1"/>
  <c r="AJ95" i="1" s="1"/>
  <c r="AQ92" i="1" a="1"/>
  <c r="AQ92" i="1" s="1"/>
  <c r="AP93" i="1" a="1"/>
  <c r="AP93" i="1" s="1"/>
  <c r="AO154" i="1" a="1"/>
  <c r="AO154" i="1" s="1"/>
  <c r="AP67" i="1" a="1"/>
  <c r="AP67" i="1" s="1"/>
  <c r="AO29" i="1" a="1"/>
  <c r="AO29" i="1" s="1"/>
  <c r="AN67" i="1" a="1"/>
  <c r="AN67" i="1" s="1"/>
  <c r="AM23" i="1" a="1"/>
  <c r="AM23" i="1" s="1"/>
  <c r="AM56" i="1" a="1"/>
  <c r="AM56" i="1" s="1"/>
  <c r="AL120" i="1" a="1"/>
  <c r="AL120" i="1" s="1"/>
  <c r="AL110" i="1" s="1"/>
  <c r="AV81" i="1"/>
  <c r="AL144" i="1" a="1"/>
  <c r="AL144" i="1" s="1"/>
  <c r="AL180" i="1" a="1"/>
  <c r="AL180" i="1" s="1"/>
  <c r="AU162" i="1"/>
  <c r="AW111" i="1"/>
  <c r="AW162" i="1"/>
  <c r="AV40" i="1"/>
  <c r="AV42" i="1" s="1"/>
  <c r="AK121" i="1" a="1"/>
  <c r="AK121" i="1" s="1"/>
  <c r="AK111" i="1" s="1"/>
  <c r="AK120" i="1" a="1"/>
  <c r="AK120" i="1" s="1"/>
  <c r="AK110" i="1" s="1"/>
  <c r="AK39" i="1" a="1"/>
  <c r="AK39" i="1" s="1"/>
  <c r="AJ120" i="1" a="1"/>
  <c r="AJ120" i="1" s="1"/>
  <c r="AJ110" i="1" s="1"/>
  <c r="AJ29" i="1" a="1"/>
  <c r="AJ29" i="1" s="1"/>
  <c r="AJ38" i="1" a="1"/>
  <c r="AJ38" i="1" s="1"/>
  <c r="AN17" i="1" a="1"/>
  <c r="AN17" i="1" s="1"/>
  <c r="AM96" i="1" a="1"/>
  <c r="AM96" i="1" s="1"/>
  <c r="AM36" i="1" a="1"/>
  <c r="AM36" i="1" s="1"/>
  <c r="AM79" i="1" a="1"/>
  <c r="AM79" i="1" s="1"/>
  <c r="AM19" i="1" a="1"/>
  <c r="AM19" i="1" s="1"/>
  <c r="AM17" i="1" a="1"/>
  <c r="AM17" i="1" s="1"/>
  <c r="AL74" i="1" a="1"/>
  <c r="AL74" i="1" s="1"/>
  <c r="AL94" i="1" a="1"/>
  <c r="AL94" i="1" s="1"/>
  <c r="AL22" i="1" a="1"/>
  <c r="AL22" i="1" s="1"/>
  <c r="AL173" i="1" a="1"/>
  <c r="AL173" i="1" s="1"/>
  <c r="AL119" i="1" a="1"/>
  <c r="AL119" i="1" s="1"/>
  <c r="AV97" i="1"/>
  <c r="AV84" i="1" s="1"/>
  <c r="AW175" i="1"/>
  <c r="AK92" i="1" a="1"/>
  <c r="AK92" i="1" s="1"/>
  <c r="AK38" i="1" a="1"/>
  <c r="AK38" i="1" s="1"/>
  <c r="AU40" i="1"/>
  <c r="AU42" i="1" s="1"/>
  <c r="AU69" i="1"/>
  <c r="AU81" i="1" s="1"/>
  <c r="AK77" i="1" a="1"/>
  <c r="AK77" i="1" s="1"/>
  <c r="AJ180" i="1" a="1"/>
  <c r="AJ180" i="1" s="1"/>
  <c r="AP127" i="1" a="1"/>
  <c r="AP127" i="1" s="1"/>
  <c r="AP26" i="1" a="1"/>
  <c r="AP26" i="1" s="1"/>
  <c r="AO63" i="1" a="1"/>
  <c r="AO63" i="1" s="1"/>
  <c r="AN144" i="1" a="1"/>
  <c r="AN144" i="1" s="1"/>
  <c r="AM22" i="1" a="1"/>
  <c r="AM22" i="1" s="1"/>
  <c r="AL15" i="1" a="1"/>
  <c r="AL15" i="1" s="1"/>
  <c r="AJ159" i="1" a="1"/>
  <c r="AJ159" i="1" s="1"/>
  <c r="AQ50" i="1" a="1"/>
  <c r="AQ50" i="1" s="1"/>
  <c r="AP29" i="1" a="1"/>
  <c r="AP29" i="1" s="1"/>
  <c r="AO22" i="1" a="1"/>
  <c r="AO22" i="1" s="1"/>
  <c r="AP15" i="1" a="1"/>
  <c r="AP15" i="1" s="1"/>
  <c r="AO144" i="1" a="1"/>
  <c r="AO144" i="1" s="1"/>
  <c r="AN93" i="1" a="1"/>
  <c r="AN93" i="1" s="1"/>
  <c r="AM144" i="1" a="1"/>
  <c r="AM144" i="1" s="1"/>
  <c r="AL91" i="1" a="1"/>
  <c r="AL91" i="1" s="1"/>
  <c r="AH58" i="1"/>
  <c r="AH20" i="1"/>
  <c r="AS50" i="1" a="1"/>
  <c r="AS50" i="1" s="1"/>
  <c r="AJ50" i="1" a="1"/>
  <c r="AJ50" i="1" s="1"/>
  <c r="AR50" i="1" a="1"/>
  <c r="AR50" i="1" s="1"/>
  <c r="AU50" i="1" a="1"/>
  <c r="AU50" i="1" s="1"/>
  <c r="AU58" i="1" s="1"/>
  <c r="AW50" i="1" a="1"/>
  <c r="AW50" i="1" s="1"/>
  <c r="AW58" i="1" s="1"/>
  <c r="AV50" i="1" a="1"/>
  <c r="AV50" i="1" s="1"/>
  <c r="AV58" i="1" s="1"/>
  <c r="AK50" i="1" a="1"/>
  <c r="AK50" i="1" s="1"/>
  <c r="AL50" i="1" a="1"/>
  <c r="AL50" i="1" s="1"/>
  <c r="AN50" i="1" a="1"/>
  <c r="AN50" i="1" s="1"/>
  <c r="AM50" i="1" a="1"/>
  <c r="AM50" i="1" s="1"/>
  <c r="AM58" i="1" s="1"/>
  <c r="AO50" i="1" a="1"/>
  <c r="AO50" i="1" s="1"/>
  <c r="AP50" i="1" a="1"/>
  <c r="AP50" i="1" s="1"/>
  <c r="AQ26" i="1" a="1"/>
  <c r="AQ26" i="1" s="1"/>
  <c r="AP72" i="1" a="1"/>
  <c r="AP72" i="1" s="1"/>
  <c r="AO92" i="1" a="1"/>
  <c r="AO92" i="1" s="1"/>
  <c r="AO56" i="1" a="1"/>
  <c r="AO56" i="1" s="1"/>
  <c r="AN168" i="1" a="1"/>
  <c r="AN168" i="1" s="1"/>
  <c r="AN175" i="1" s="1"/>
  <c r="AN22" i="1" a="1"/>
  <c r="AN22" i="1" s="1"/>
  <c r="AQ77" i="1" a="1"/>
  <c r="AQ77" i="1" s="1"/>
  <c r="AQ121" i="1" a="1"/>
  <c r="AQ121" i="1" s="1"/>
  <c r="AQ111" i="1" s="1"/>
  <c r="AP39" i="1" a="1"/>
  <c r="AP39" i="1" s="1"/>
  <c r="AS104" i="1" a="1"/>
  <c r="AS104" i="1" s="1"/>
  <c r="AP149" i="1" a="1"/>
  <c r="AP149" i="1" s="1"/>
  <c r="AP119" i="1" a="1"/>
  <c r="AP119" i="1" s="1"/>
  <c r="AP36" i="1" a="1"/>
  <c r="AP36" i="1" s="1"/>
  <c r="AP19" i="1" a="1"/>
  <c r="AP19" i="1" s="1"/>
  <c r="AO37" i="1" a="1"/>
  <c r="AO37" i="1" s="1"/>
  <c r="AO91" i="1" a="1"/>
  <c r="AO91" i="1" s="1"/>
  <c r="AO96" i="1" a="1"/>
  <c r="AO96" i="1" s="1"/>
  <c r="AO94" i="1" a="1"/>
  <c r="AO94" i="1" s="1"/>
  <c r="AN77" i="1" a="1"/>
  <c r="AN77" i="1" s="1"/>
  <c r="AN29" i="1" a="1"/>
  <c r="AN29" i="1" s="1"/>
  <c r="AN74" i="1" a="1"/>
  <c r="AN74" i="1" s="1"/>
  <c r="AN39" i="1" a="1"/>
  <c r="AN39" i="1" s="1"/>
  <c r="AN21" i="1" a="1"/>
  <c r="AN21" i="1" s="1"/>
  <c r="AM92" i="1" a="1"/>
  <c r="AM92" i="1" s="1"/>
  <c r="AM28" i="1" a="1"/>
  <c r="AM28" i="1" s="1"/>
  <c r="AM121" i="1" a="1"/>
  <c r="AM121" i="1" s="1"/>
  <c r="AM111" i="1" s="1"/>
  <c r="AM120" i="1" a="1"/>
  <c r="AM120" i="1" s="1"/>
  <c r="AM110" i="1" s="1"/>
  <c r="AL56" i="1" a="1"/>
  <c r="AL56" i="1" s="1"/>
  <c r="AL93" i="1" a="1"/>
  <c r="AL93" i="1" s="1"/>
  <c r="AL23" i="1" a="1"/>
  <c r="AL23" i="1" s="1"/>
  <c r="AW40" i="1"/>
  <c r="AW42" i="1" s="1"/>
  <c r="AL96" i="1" a="1"/>
  <c r="AL96" i="1" s="1"/>
  <c r="AV161" i="1"/>
  <c r="AV162" i="1" s="1"/>
  <c r="AV89" i="1"/>
  <c r="AW69" i="1"/>
  <c r="AW81" i="1" s="1"/>
  <c r="AK17" i="1" a="1"/>
  <c r="AK17" i="1" s="1"/>
  <c r="AK119" i="1" a="1"/>
  <c r="AK119" i="1" s="1"/>
  <c r="AJ168" i="1" a="1"/>
  <c r="AJ168" i="1" s="1"/>
  <c r="AJ127" i="1" a="1"/>
  <c r="AJ127" i="1" s="1"/>
  <c r="AR26" i="1" a="1"/>
  <c r="AR26" i="1" s="1"/>
  <c r="AJ39" i="1" a="1"/>
  <c r="AJ39" i="1" s="1"/>
  <c r="AP120" i="1" a="1"/>
  <c r="AP120" i="1" s="1"/>
  <c r="AP110" i="1" s="1"/>
  <c r="AO38" i="1" a="1"/>
  <c r="AO38" i="1" s="1"/>
  <c r="AM63" i="1" a="1"/>
  <c r="AM63" i="1" s="1"/>
  <c r="AL168" i="1" a="1"/>
  <c r="AL168" i="1" s="1"/>
  <c r="AL175" i="1" s="1"/>
  <c r="AQ16" i="1" a="1"/>
  <c r="AQ16" i="1" s="1"/>
  <c r="AO93" i="1" a="1"/>
  <c r="AO93" i="1" s="1"/>
  <c r="AN180" i="1" a="1"/>
  <c r="AN180" i="1" s="1"/>
  <c r="AR106" i="1"/>
  <c r="AO168" i="1" a="1"/>
  <c r="AO168" i="1" s="1"/>
  <c r="AN79" i="1" a="1"/>
  <c r="AN79" i="1" s="1"/>
  <c r="AN56" i="1" a="1"/>
  <c r="AN56" i="1" s="1"/>
  <c r="AM38" i="1" a="1"/>
  <c r="AM38" i="1" s="1"/>
  <c r="AQ79" i="1" a="1"/>
  <c r="AQ79" i="1" s="1"/>
  <c r="AQ39" i="1" a="1"/>
  <c r="AQ39" i="1" s="1"/>
  <c r="AP154" i="1" a="1"/>
  <c r="AP154" i="1" s="1"/>
  <c r="AP121" i="1" a="1"/>
  <c r="AP121" i="1" s="1"/>
  <c r="AP111" i="1" s="1"/>
  <c r="AO119" i="1" a="1"/>
  <c r="AO119" i="1" s="1"/>
  <c r="AO28" i="1" a="1"/>
  <c r="AO28" i="1" s="1"/>
  <c r="AN92" i="1" a="1"/>
  <c r="AN92" i="1" s="1"/>
  <c r="AQ17" i="1" a="1"/>
  <c r="AQ17" i="1" s="1"/>
  <c r="AP96" i="1" a="1"/>
  <c r="AP96" i="1" s="1"/>
  <c r="AQ94" i="1" a="1"/>
  <c r="AQ94" i="1" s="1"/>
  <c r="AQ159" i="1" a="1"/>
  <c r="AQ159" i="1" s="1"/>
  <c r="AP159" i="1" a="1"/>
  <c r="AP159" i="1" s="1"/>
  <c r="AP22" i="1" a="1"/>
  <c r="AP22" i="1" s="1"/>
  <c r="AP16" i="1" a="1"/>
  <c r="AP16" i="1" s="1"/>
  <c r="AP180" i="1" a="1"/>
  <c r="AP180" i="1" s="1"/>
  <c r="AO15" i="1" a="1"/>
  <c r="AO15" i="1" s="1"/>
  <c r="AO74" i="1" a="1"/>
  <c r="AO74" i="1" s="1"/>
  <c r="AO39" i="1" a="1"/>
  <c r="AO39" i="1" s="1"/>
  <c r="AO121" i="1" a="1"/>
  <c r="AO121" i="1" s="1"/>
  <c r="AO111" i="1" s="1"/>
  <c r="AO127" i="1" a="1"/>
  <c r="AO127" i="1" s="1"/>
  <c r="AN121" i="1" a="1"/>
  <c r="AN121" i="1" s="1"/>
  <c r="AN111" i="1" s="1"/>
  <c r="AN23" i="1" a="1"/>
  <c r="AN23" i="1" s="1"/>
  <c r="AN159" i="1" a="1"/>
  <c r="AN159" i="1" s="1"/>
  <c r="AN19" i="1" a="1"/>
  <c r="AN19" i="1" s="1"/>
  <c r="AO16" i="1" a="1"/>
  <c r="AO16" i="1" s="1"/>
  <c r="AM16" i="1" a="1"/>
  <c r="AM16" i="1" s="1"/>
  <c r="AM95" i="1" a="1"/>
  <c r="AM95" i="1" s="1"/>
  <c r="AM154" i="1" a="1"/>
  <c r="AM154" i="1" s="1"/>
  <c r="AM168" i="1" a="1"/>
  <c r="AM168" i="1" s="1"/>
  <c r="AL95" i="1" a="1"/>
  <c r="AL95" i="1" s="1"/>
  <c r="AL79" i="1" a="1"/>
  <c r="AL79" i="1" s="1"/>
  <c r="AL21" i="1" a="1"/>
  <c r="AL21" i="1" s="1"/>
  <c r="AL29" i="1" a="1"/>
  <c r="AL29" i="1" s="1"/>
  <c r="AL67" i="1" a="1"/>
  <c r="AL67" i="1" s="1"/>
  <c r="AV86" i="1"/>
  <c r="AV88" i="1"/>
  <c r="AW122" i="1"/>
  <c r="AW109" i="1"/>
  <c r="AK23" i="1" a="1"/>
  <c r="AK23" i="1" s="1"/>
  <c r="AK37" i="1" a="1"/>
  <c r="AK37" i="1" s="1"/>
  <c r="AK154" i="1" a="1"/>
  <c r="AK154" i="1" s="1"/>
  <c r="AK63" i="1" a="1"/>
  <c r="AK63" i="1" s="1"/>
  <c r="AJ21" i="1" a="1"/>
  <c r="AJ21" i="1" s="1"/>
  <c r="AR149" i="1" a="1"/>
  <c r="AR149" i="1" s="1"/>
  <c r="AS96" i="1" a="1"/>
  <c r="AS96" i="1" s="1"/>
  <c r="AR120" i="1" a="1"/>
  <c r="AR120" i="1" s="1"/>
  <c r="AR110" i="1" s="1"/>
  <c r="AR93" i="1" a="1"/>
  <c r="AR93" i="1" s="1"/>
  <c r="AR67" i="1" a="1"/>
  <c r="AR67" i="1" s="1"/>
  <c r="AS19" i="1" a="1"/>
  <c r="AS19" i="1" s="1"/>
  <c r="AR36" i="1" a="1"/>
  <c r="AR36" i="1" s="1"/>
  <c r="AS180" i="1" a="1"/>
  <c r="AS180" i="1" s="1"/>
  <c r="AJ74" i="1" a="1"/>
  <c r="AJ74" i="1" s="1"/>
  <c r="AR38" i="1" a="1"/>
  <c r="AR38" i="1" s="1"/>
  <c r="AR16" i="1" a="1"/>
  <c r="AR16" i="1" s="1"/>
  <c r="AR37" i="1" a="1"/>
  <c r="AR37" i="1" s="1"/>
  <c r="AS92" i="1" a="1"/>
  <c r="AS92" i="1" s="1"/>
  <c r="AR21" i="1" a="1"/>
  <c r="AR21" i="1" s="1"/>
  <c r="AS119" i="1" a="1"/>
  <c r="AS119" i="1" s="1"/>
  <c r="AR19" i="1" a="1"/>
  <c r="AR19" i="1" s="1"/>
  <c r="AR63" i="1" a="1"/>
  <c r="AR63" i="1" s="1"/>
  <c r="AS127" i="1" a="1"/>
  <c r="AS127" i="1" s="1"/>
  <c r="AR127" i="1" a="1"/>
  <c r="AR127" i="1" s="1"/>
  <c r="AS22" i="1" a="1"/>
  <c r="AS22" i="1" s="1"/>
  <c r="AR173" i="1" a="1"/>
  <c r="AR173" i="1" s="1"/>
  <c r="AS26" i="1" a="1"/>
  <c r="AS26" i="1" s="1"/>
  <c r="AS37" i="1" a="1"/>
  <c r="AS37" i="1" s="1"/>
  <c r="AS79" i="1" a="1"/>
  <c r="AS79" i="1" s="1"/>
  <c r="AR154" i="1" a="1"/>
  <c r="AR154" i="1" s="1"/>
  <c r="AR91" i="1" a="1"/>
  <c r="AR91" i="1" s="1"/>
  <c r="AR95" i="1" a="1"/>
  <c r="AR95" i="1" s="1"/>
  <c r="AS67" i="1" a="1"/>
  <c r="AS67" i="1" s="1"/>
  <c r="AS29" i="1" a="1"/>
  <c r="AS29" i="1" s="1"/>
  <c r="AS144" i="1" a="1"/>
  <c r="AS144" i="1" s="1"/>
  <c r="AS63" i="1" a="1"/>
  <c r="AS63" i="1" s="1"/>
  <c r="AS93" i="1" a="1"/>
  <c r="AS93" i="1" s="1"/>
  <c r="AR15" i="1" a="1"/>
  <c r="AR15" i="1" s="1"/>
  <c r="AS121" i="1" a="1"/>
  <c r="AS121" i="1" s="1"/>
  <c r="AS56" i="1" a="1"/>
  <c r="AS56" i="1" s="1"/>
  <c r="AS159" i="1" a="1"/>
  <c r="AS159" i="1" s="1"/>
  <c r="AS23" i="1" a="1"/>
  <c r="AS23" i="1" s="1"/>
  <c r="AR29" i="1" a="1"/>
  <c r="AR29" i="1" s="1"/>
  <c r="AR39" i="1" a="1"/>
  <c r="AR39" i="1" s="1"/>
  <c r="AJ16" i="1" a="1"/>
  <c r="AJ16" i="1" s="1"/>
  <c r="AS95" i="1" a="1"/>
  <c r="AS95" i="1" s="1"/>
  <c r="AS149" i="1" a="1"/>
  <c r="AS149" i="1" s="1"/>
  <c r="AS91" i="1" a="1"/>
  <c r="AS91" i="1" s="1"/>
  <c r="AS39" i="1" a="1"/>
  <c r="AS39" i="1" s="1"/>
  <c r="AS28" i="1" a="1"/>
  <c r="AS28" i="1" s="1"/>
  <c r="AR94" i="1" a="1"/>
  <c r="AR94" i="1" s="1"/>
  <c r="AS72" i="1" a="1"/>
  <c r="AS72" i="1" s="1"/>
  <c r="AR168" i="1" a="1"/>
  <c r="AR168" i="1" s="1"/>
  <c r="AR175" i="1" s="1"/>
  <c r="AS21" i="1" a="1"/>
  <c r="AS21" i="1" s="1"/>
  <c r="AR119" i="1" a="1"/>
  <c r="AR119" i="1" s="1"/>
  <c r="AS38" i="1" a="1"/>
  <c r="AS38" i="1" s="1"/>
  <c r="AR121" i="1" a="1"/>
  <c r="AR121" i="1" s="1"/>
  <c r="AR111" i="1" s="1"/>
  <c r="AS120" i="1" a="1"/>
  <c r="AS120" i="1" s="1"/>
  <c r="AS110" i="1" s="1"/>
  <c r="AR92" i="1" a="1"/>
  <c r="AR92" i="1" s="1"/>
  <c r="AR28" i="1" a="1"/>
  <c r="AR28" i="1" s="1"/>
  <c r="AS77" i="1" a="1"/>
  <c r="AS77" i="1" s="1"/>
  <c r="AS94" i="1" a="1"/>
  <c r="AS94" i="1" s="1"/>
  <c r="AR72" i="1" a="1"/>
  <c r="AR72" i="1" s="1"/>
  <c r="AJ173" i="1" a="1"/>
  <c r="AJ173" i="1" s="1"/>
  <c r="AR96" i="1" a="1"/>
  <c r="AR96" i="1" s="1"/>
  <c r="AR159" i="1" a="1"/>
  <c r="AR159" i="1" s="1"/>
  <c r="AR74" i="1" a="1"/>
  <c r="AR74" i="1" s="1"/>
  <c r="AR180" i="1" a="1"/>
  <c r="AR180" i="1" s="1"/>
  <c r="AJ96" i="1" a="1"/>
  <c r="AJ96" i="1" s="1"/>
  <c r="AJ144" i="1" a="1"/>
  <c r="AJ144" i="1" s="1"/>
  <c r="AS74" i="1" a="1"/>
  <c r="AS74" i="1" s="1"/>
  <c r="AR77" i="1" a="1"/>
  <c r="AR77" i="1" s="1"/>
  <c r="AR23" i="1" a="1"/>
  <c r="AR23" i="1" s="1"/>
  <c r="AJ77" i="1" a="1"/>
  <c r="AJ77" i="1" s="1"/>
  <c r="AR144" i="1" a="1"/>
  <c r="AR144" i="1" s="1"/>
  <c r="AJ56" i="1" a="1"/>
  <c r="AJ56" i="1" s="1"/>
  <c r="AJ17" i="1" a="1"/>
  <c r="AJ17" i="1" s="1"/>
  <c r="AJ93" i="1" a="1"/>
  <c r="AJ93" i="1" s="1"/>
  <c r="AS173" i="1" a="1"/>
  <c r="AS173" i="1" s="1"/>
  <c r="AJ19" i="1" a="1"/>
  <c r="AJ19" i="1" s="1"/>
  <c r="AS16" i="1" a="1"/>
  <c r="AS16" i="1" s="1"/>
  <c r="AJ15" i="1" a="1"/>
  <c r="AJ15" i="1" s="1"/>
  <c r="AJ37" i="1" a="1"/>
  <c r="AJ37" i="1" s="1"/>
  <c r="AJ94" i="1" a="1"/>
  <c r="AJ94" i="1" s="1"/>
  <c r="AJ22" i="1" a="1"/>
  <c r="AJ22" i="1" s="1"/>
  <c r="AR79" i="1" a="1"/>
  <c r="AR79" i="1" s="1"/>
  <c r="AJ26" i="1" a="1"/>
  <c r="AJ26" i="1" s="1"/>
  <c r="AJ119" i="1" a="1"/>
  <c r="AJ119" i="1" s="1"/>
  <c r="AR17" i="1" a="1"/>
  <c r="AR17" i="1" s="1"/>
  <c r="AS17" i="1" a="1"/>
  <c r="AS17" i="1" s="1"/>
  <c r="AJ121" i="1" a="1"/>
  <c r="AJ121" i="1" s="1"/>
  <c r="AJ111" i="1" s="1"/>
  <c r="AJ92" i="1" a="1"/>
  <c r="AJ92" i="1" s="1"/>
  <c r="AR56" i="1" a="1"/>
  <c r="AR56" i="1" s="1"/>
  <c r="AJ79" i="1" a="1"/>
  <c r="AJ79" i="1" s="1"/>
  <c r="AJ67" i="1" a="1"/>
  <c r="AJ67" i="1" s="1"/>
  <c r="AJ28" i="1" a="1"/>
  <c r="AJ28" i="1" s="1"/>
  <c r="AJ23" i="1" a="1"/>
  <c r="AJ23" i="1" s="1"/>
  <c r="AJ72" i="1" a="1"/>
  <c r="AJ72" i="1" s="1"/>
  <c r="AK28" i="1" a="1"/>
  <c r="AK28" i="1" s="1"/>
  <c r="AK149" i="1" a="1"/>
  <c r="AK149" i="1" s="1"/>
  <c r="AK127" i="1" a="1"/>
  <c r="AK127" i="1" s="1"/>
  <c r="AK26" i="1" a="1"/>
  <c r="AK26" i="1" s="1"/>
  <c r="AK21" i="1" a="1"/>
  <c r="AK21" i="1" s="1"/>
  <c r="AK36" i="1" a="1"/>
  <c r="AK36" i="1" s="1"/>
  <c r="AK56" i="1" a="1"/>
  <c r="AK56" i="1" s="1"/>
  <c r="AK96" i="1" a="1"/>
  <c r="AK96" i="1" s="1"/>
  <c r="AK15" i="1" a="1"/>
  <c r="AK15" i="1" s="1"/>
  <c r="AK29" i="1" a="1"/>
  <c r="AK29" i="1" s="1"/>
  <c r="AK93" i="1" a="1"/>
  <c r="AK93" i="1" s="1"/>
  <c r="AK22" i="1" a="1"/>
  <c r="AK22" i="1" s="1"/>
  <c r="AK79" i="1" a="1"/>
  <c r="AK79" i="1" s="1"/>
  <c r="AK19" i="1" a="1"/>
  <c r="AK19" i="1" s="1"/>
  <c r="AK168" i="1" a="1"/>
  <c r="AK168" i="1" s="1"/>
  <c r="AK173" i="1" a="1"/>
  <c r="AK173" i="1" s="1"/>
  <c r="AL159" i="1" a="1"/>
  <c r="AL159" i="1" s="1"/>
  <c r="AN120" i="1" a="1"/>
  <c r="AN120" i="1" s="1"/>
  <c r="AN110" i="1" s="1"/>
  <c r="AO19" i="1" a="1"/>
  <c r="AO19" i="1" s="1"/>
  <c r="AN36" i="1" a="1"/>
  <c r="AN36" i="1" s="1"/>
  <c r="AN72" i="1" a="1"/>
  <c r="AN72" i="1" s="1"/>
  <c r="AO79" i="1" a="1"/>
  <c r="AO79" i="1" s="1"/>
  <c r="AO36" i="1" a="1"/>
  <c r="AO36" i="1" s="1"/>
  <c r="AO40" i="1" s="1"/>
  <c r="AO42" i="1" s="1"/>
  <c r="AQ56" i="1" a="1"/>
  <c r="AQ56" i="1" s="1"/>
  <c r="AQ36" i="1" a="1"/>
  <c r="AQ36" i="1" s="1"/>
  <c r="AQ96" i="1" a="1"/>
  <c r="AQ96" i="1" s="1"/>
  <c r="AQ119" i="1" a="1"/>
  <c r="AQ119" i="1" s="1"/>
  <c r="AQ91" i="1" a="1"/>
  <c r="AQ91" i="1" s="1"/>
  <c r="AQ29" i="1" a="1"/>
  <c r="AQ29" i="1" s="1"/>
  <c r="AQ23" i="1" a="1"/>
  <c r="AQ23" i="1" s="1"/>
  <c r="AQ168" i="1" a="1"/>
  <c r="AQ168" i="1" s="1"/>
  <c r="AQ38" i="1" a="1"/>
  <c r="AQ38" i="1" s="1"/>
  <c r="AQ144" i="1" a="1"/>
  <c r="AQ144" i="1" s="1"/>
  <c r="AQ154" i="1" a="1"/>
  <c r="AQ154" i="1" s="1"/>
  <c r="AQ161" i="1" s="1"/>
  <c r="AQ180" i="1" a="1"/>
  <c r="AQ180" i="1" s="1"/>
  <c r="AQ127" i="1" a="1"/>
  <c r="AQ127" i="1" s="1"/>
  <c r="AQ95" i="1" a="1"/>
  <c r="AQ95" i="1" s="1"/>
  <c r="AQ173" i="1" a="1"/>
  <c r="AQ173" i="1" s="1"/>
  <c r="AQ15" i="1" a="1"/>
  <c r="AQ15" i="1" s="1"/>
  <c r="AP95" i="1" a="1"/>
  <c r="AP95" i="1" s="1"/>
  <c r="AO120" i="1" a="1"/>
  <c r="AO120" i="1" s="1"/>
  <c r="AO110" i="1" s="1"/>
  <c r="AN28" i="1" a="1"/>
  <c r="AN28" i="1" s="1"/>
  <c r="AM180" i="1" a="1"/>
  <c r="AM180" i="1" s="1"/>
  <c r="AL63" i="1" a="1"/>
  <c r="AL63" i="1" s="1"/>
  <c r="AL69" i="1" s="1"/>
  <c r="AK94" i="1" a="1"/>
  <c r="AK94" i="1" s="1"/>
  <c r="AS36" i="1" a="1"/>
  <c r="AS36" i="1" s="1"/>
  <c r="AS40" i="1" s="1"/>
  <c r="AS42" i="1" s="1"/>
  <c r="AO23" i="1" a="1"/>
  <c r="AO23" i="1" s="1"/>
  <c r="AN119" i="1" a="1"/>
  <c r="AN119" i="1" s="1"/>
  <c r="AQ37" i="1" a="1"/>
  <c r="AQ37" i="1" s="1"/>
  <c r="AP28" i="1" a="1"/>
  <c r="AP28" i="1" s="1"/>
  <c r="AO67" i="1" a="1"/>
  <c r="AO67" i="1" s="1"/>
  <c r="AN149" i="1" a="1"/>
  <c r="AN149" i="1" s="1"/>
  <c r="AM127" i="1" a="1"/>
  <c r="AM127" i="1" s="1"/>
  <c r="AQ74" i="1" a="1"/>
  <c r="AQ74" i="1" s="1"/>
  <c r="AS103" i="1" a="1"/>
  <c r="AS103" i="1" s="1"/>
  <c r="AQ21" i="1" a="1"/>
  <c r="AQ21" i="1" s="1"/>
  <c r="AQ19" i="1" a="1"/>
  <c r="AQ19" i="1" s="1"/>
  <c r="AS105" i="1" a="1"/>
  <c r="AS105" i="1" s="1"/>
  <c r="AP144" i="1" a="1"/>
  <c r="AP144" i="1" s="1"/>
  <c r="AP37" i="1" a="1"/>
  <c r="AP37" i="1" s="1"/>
  <c r="AP38" i="1" a="1"/>
  <c r="AP38" i="1" s="1"/>
  <c r="AP17" i="1" a="1"/>
  <c r="AP17" i="1" s="1"/>
  <c r="AO72" i="1" a="1"/>
  <c r="AO72" i="1" s="1"/>
  <c r="AO21" i="1" a="1"/>
  <c r="AO21" i="1" s="1"/>
  <c r="AO26" i="1" a="1"/>
  <c r="AO26" i="1" s="1"/>
  <c r="AO149" i="1" a="1"/>
  <c r="AO149" i="1" s="1"/>
  <c r="AN38" i="1" a="1"/>
  <c r="AN38" i="1" s="1"/>
  <c r="AN15" i="1" a="1"/>
  <c r="AN15" i="1" s="1"/>
  <c r="AN26" i="1" a="1"/>
  <c r="AN26" i="1" s="1"/>
  <c r="AN94" i="1" a="1"/>
  <c r="AN94" i="1" s="1"/>
  <c r="AM93" i="1" a="1"/>
  <c r="AM93" i="1" s="1"/>
  <c r="AM94" i="1" a="1"/>
  <c r="AM94" i="1" s="1"/>
  <c r="AM119" i="1" a="1"/>
  <c r="AM119" i="1" s="1"/>
  <c r="AM39" i="1" a="1"/>
  <c r="AM39" i="1" s="1"/>
  <c r="AM173" i="1" a="1"/>
  <c r="AM173" i="1" s="1"/>
  <c r="AL92" i="1" a="1"/>
  <c r="AL92" i="1" s="1"/>
  <c r="AL36" i="1" a="1"/>
  <c r="AL36" i="1" s="1"/>
  <c r="AW18" i="1"/>
  <c r="AV87" i="1"/>
  <c r="AL77" i="1" a="1"/>
  <c r="AL77" i="1" s="1"/>
  <c r="AU87" i="1"/>
  <c r="AU86" i="1"/>
  <c r="AU97" i="1"/>
  <c r="AU85" i="1" s="1"/>
  <c r="AJ91" i="1" a="1"/>
  <c r="AJ91" i="1" s="1"/>
  <c r="AJ154" i="1" a="1"/>
  <c r="AJ154" i="1" s="1"/>
  <c r="AJ149" i="1" a="1"/>
  <c r="AJ149" i="1" s="1"/>
  <c r="AS168" i="1" a="1"/>
  <c r="AS168" i="1" s="1"/>
  <c r="AS175" i="1" s="1"/>
  <c r="AP23" i="1" a="1"/>
  <c r="AP23" i="1" s="1"/>
  <c r="AO180" i="1" a="1"/>
  <c r="AO180" i="1" s="1"/>
  <c r="AN63" i="1" a="1"/>
  <c r="AN63" i="1" s="1"/>
  <c r="AN69" i="1" s="1"/>
  <c r="AM67" i="1" a="1"/>
  <c r="AM67" i="1" s="1"/>
  <c r="AL72" i="1" a="1"/>
  <c r="AL72" i="1" s="1"/>
  <c r="AV85" i="1"/>
  <c r="AK180" i="1" a="1"/>
  <c r="AK180" i="1" s="1"/>
  <c r="AP74" i="1" a="1"/>
  <c r="AP74" i="1" s="1"/>
  <c r="AO95" i="1" a="1"/>
  <c r="AO95" i="1" s="1"/>
  <c r="AQ72" i="1" a="1"/>
  <c r="AQ72" i="1" s="1"/>
  <c r="AP91" i="1" a="1"/>
  <c r="AP91" i="1" s="1"/>
  <c r="AQ22" i="1" a="1"/>
  <c r="AQ22" i="1" s="1"/>
  <c r="AQ28" i="1" a="1"/>
  <c r="AQ28" i="1" s="1"/>
  <c r="AQ67" i="1" a="1"/>
  <c r="AQ67" i="1" s="1"/>
  <c r="AQ69" i="1" s="1"/>
  <c r="AQ81" i="1" s="1"/>
  <c r="AQ93" i="1" a="1"/>
  <c r="AQ93" i="1" s="1"/>
  <c r="AP63" i="1" a="1"/>
  <c r="AP63" i="1" s="1"/>
  <c r="AP56" i="1" a="1"/>
  <c r="AP56" i="1" s="1"/>
  <c r="AP77" i="1" a="1"/>
  <c r="AP77" i="1" s="1"/>
  <c r="AP21" i="1" a="1"/>
  <c r="AP21" i="1" s="1"/>
  <c r="AP94" i="1" a="1"/>
  <c r="AP94" i="1" s="1"/>
  <c r="AP173" i="1" a="1"/>
  <c r="AP173" i="1" s="1"/>
  <c r="AP175" i="1" s="1"/>
  <c r="AO17" i="1" a="1"/>
  <c r="AO17" i="1" s="1"/>
  <c r="AO173" i="1" a="1"/>
  <c r="AO173" i="1" s="1"/>
  <c r="AO77" i="1" a="1"/>
  <c r="AO77" i="1" s="1"/>
  <c r="AO159" i="1" a="1"/>
  <c r="AO159" i="1" s="1"/>
  <c r="AN16" i="1" a="1"/>
  <c r="AN16" i="1" s="1"/>
  <c r="AN127" i="1" a="1"/>
  <c r="AN127" i="1" s="1"/>
  <c r="AN95" i="1" a="1"/>
  <c r="AN95" i="1" s="1"/>
  <c r="AN96" i="1" a="1"/>
  <c r="AN96" i="1" s="1"/>
  <c r="AM29" i="1" a="1"/>
  <c r="AM29" i="1" s="1"/>
  <c r="AM37" i="1" a="1"/>
  <c r="AM37" i="1" s="1"/>
  <c r="AM26" i="1" a="1"/>
  <c r="AM26" i="1" s="1"/>
  <c r="AM72" i="1" a="1"/>
  <c r="AM72" i="1" s="1"/>
  <c r="AM149" i="1" a="1"/>
  <c r="AM149" i="1" s="1"/>
  <c r="AM161" i="1" s="1"/>
  <c r="AL38" i="1" a="1"/>
  <c r="AL38" i="1" s="1"/>
  <c r="AL39" i="1" a="1"/>
  <c r="AL39" i="1" s="1"/>
  <c r="AL127" i="1" a="1"/>
  <c r="AL127" i="1" s="1"/>
  <c r="AW85" i="1"/>
  <c r="AL19" i="1" a="1"/>
  <c r="AL19" i="1" s="1"/>
  <c r="AL149" i="1" a="1"/>
  <c r="AL149" i="1" s="1"/>
  <c r="AW110" i="1"/>
  <c r="AK91" i="1" a="1"/>
  <c r="AK91" i="1" s="1"/>
  <c r="AU18" i="1"/>
  <c r="AK95" i="1" a="1"/>
  <c r="AK95" i="1" s="1"/>
  <c r="AK16" i="1" a="1"/>
  <c r="AK16" i="1" s="1"/>
  <c r="AK159" i="1" a="1"/>
  <c r="AK159" i="1" s="1"/>
  <c r="AK67" i="1" a="1"/>
  <c r="AK67" i="1" s="1"/>
  <c r="AJ63" i="1" a="1"/>
  <c r="AJ63" i="1" s="1"/>
  <c r="AJ69" i="1" s="1"/>
  <c r="AR22" i="1" a="1"/>
  <c r="AR22" i="1" s="1"/>
  <c r="AP40" i="1" l="1"/>
  <c r="AP42" i="1" s="1"/>
  <c r="AS58" i="1"/>
  <c r="AS106" i="1"/>
  <c r="AQ175" i="1"/>
  <c r="AM69" i="1"/>
  <c r="AM81" i="1" s="1"/>
  <c r="AU88" i="1"/>
  <c r="AU89" i="1"/>
  <c r="AM40" i="1"/>
  <c r="AM42" i="1" s="1"/>
  <c r="AR69" i="1"/>
  <c r="AR81" i="1" s="1"/>
  <c r="AS69" i="1"/>
  <c r="AO58" i="1"/>
  <c r="AJ175" i="1"/>
  <c r="AJ58" i="1"/>
  <c r="AR97" i="1"/>
  <c r="AR84" i="1" s="1"/>
  <c r="AM86" i="1"/>
  <c r="AR161" i="1"/>
  <c r="AR162" i="1" s="1"/>
  <c r="AK109" i="1"/>
  <c r="AK122" i="1"/>
  <c r="AJ97" i="1"/>
  <c r="AJ84" i="1" s="1"/>
  <c r="AK175" i="1"/>
  <c r="AM89" i="1"/>
  <c r="AL162" i="1"/>
  <c r="AU84" i="1"/>
  <c r="AJ18" i="1"/>
  <c r="AS81" i="1"/>
  <c r="AM175" i="1"/>
  <c r="AO109" i="1"/>
  <c r="AO122" i="1"/>
  <c r="AO175" i="1"/>
  <c r="AP109" i="1"/>
  <c r="AP122" i="1"/>
  <c r="AL58" i="1"/>
  <c r="AR20" i="1" a="1"/>
  <c r="AR20" i="1" s="1"/>
  <c r="AS20" i="1" a="1"/>
  <c r="AS20" i="1" s="1"/>
  <c r="AJ20" i="1" a="1"/>
  <c r="AJ20" i="1" s="1"/>
  <c r="AU20" i="1" a="1"/>
  <c r="AU20" i="1" s="1"/>
  <c r="AW20" i="1" a="1"/>
  <c r="AW20" i="1" s="1"/>
  <c r="AK20" i="1" a="1"/>
  <c r="AK20" i="1" s="1"/>
  <c r="AV20" i="1" a="1"/>
  <c r="AV20" i="1" s="1"/>
  <c r="AL20" i="1" a="1"/>
  <c r="AL20" i="1" s="1"/>
  <c r="AM20" i="1" a="1"/>
  <c r="AM20" i="1" s="1"/>
  <c r="AN20" i="1" a="1"/>
  <c r="AN20" i="1" s="1"/>
  <c r="AO20" i="1" a="1"/>
  <c r="AO20" i="1" s="1"/>
  <c r="AP20" i="1" a="1"/>
  <c r="AP20" i="1" s="1"/>
  <c r="AQ20" i="1" a="1"/>
  <c r="AQ20" i="1" s="1"/>
  <c r="AO69" i="1"/>
  <c r="AO81" i="1" s="1"/>
  <c r="AM97" i="1"/>
  <c r="AM88" i="1" s="1"/>
  <c r="AP97" i="1"/>
  <c r="AP89" i="1" s="1"/>
  <c r="AN81" i="1"/>
  <c r="AL40" i="1"/>
  <c r="AL42" i="1" s="1"/>
  <c r="AK40" i="1"/>
  <c r="AK42" i="1" s="1"/>
  <c r="AJ109" i="1"/>
  <c r="AJ122" i="1"/>
  <c r="AR85" i="1"/>
  <c r="AS109" i="1"/>
  <c r="AS122" i="1"/>
  <c r="AR40" i="1"/>
  <c r="AR42" i="1" s="1"/>
  <c r="AK69" i="1"/>
  <c r="AK81" i="1" s="1"/>
  <c r="AP161" i="1"/>
  <c r="AP162" i="1" s="1"/>
  <c r="AK58" i="1"/>
  <c r="AM18" i="1"/>
  <c r="AL122" i="1"/>
  <c r="AL109" i="1"/>
  <c r="AQ18" i="1"/>
  <c r="AJ81" i="1"/>
  <c r="AN18" i="1"/>
  <c r="AN161" i="1"/>
  <c r="AN162" i="1" s="1"/>
  <c r="AL81" i="1"/>
  <c r="AQ97" i="1"/>
  <c r="AQ87" i="1" s="1"/>
  <c r="AQ84" i="1"/>
  <c r="AN40" i="1"/>
  <c r="AN42" i="1" s="1"/>
  <c r="AL97" i="1"/>
  <c r="AL85" i="1" s="1"/>
  <c r="AQ58" i="1"/>
  <c r="AN97" i="1"/>
  <c r="AN84" i="1" s="1"/>
  <c r="AJ88" i="1"/>
  <c r="AN109" i="1"/>
  <c r="AN122" i="1"/>
  <c r="AN58" i="1"/>
  <c r="AK97" i="1"/>
  <c r="AK87" i="1" s="1"/>
  <c r="AQ109" i="1"/>
  <c r="AQ122" i="1"/>
  <c r="AR89" i="1"/>
  <c r="AS85" i="1"/>
  <c r="AM162" i="1"/>
  <c r="AJ89" i="1"/>
  <c r="AL161" i="1"/>
  <c r="AP69" i="1"/>
  <c r="AP81" i="1" s="1"/>
  <c r="AO161" i="1"/>
  <c r="AS97" i="1"/>
  <c r="AS87" i="1" s="1"/>
  <c r="AR86" i="1"/>
  <c r="AW86" i="1"/>
  <c r="AO97" i="1"/>
  <c r="AO85" i="1" s="1"/>
  <c r="AP58" i="1"/>
  <c r="AW88" i="1"/>
  <c r="AS18" i="1"/>
  <c r="AW89" i="1"/>
  <c r="AJ87" i="1"/>
  <c r="AR18" i="1"/>
  <c r="AP18" i="1"/>
  <c r="AQ86" i="1"/>
  <c r="AJ161" i="1"/>
  <c r="AJ162" i="1" s="1"/>
  <c r="AM122" i="1"/>
  <c r="AM109" i="1"/>
  <c r="AQ162" i="1"/>
  <c r="AQ40" i="1"/>
  <c r="AQ42" i="1" s="1"/>
  <c r="AK18" i="1"/>
  <c r="AK161" i="1"/>
  <c r="AK162" i="1" s="1"/>
  <c r="AJ85" i="1"/>
  <c r="AJ86" i="1"/>
  <c r="AR109" i="1"/>
  <c r="AR122" i="1"/>
  <c r="AS161" i="1"/>
  <c r="AS162" i="1" s="1"/>
  <c r="AS111" i="1"/>
  <c r="AR88" i="1"/>
  <c r="AO18" i="1"/>
  <c r="AW87" i="1"/>
  <c r="AR58" i="1"/>
  <c r="AO162" i="1"/>
  <c r="AL18" i="1"/>
  <c r="AJ40" i="1"/>
  <c r="AJ42" i="1" s="1"/>
  <c r="AS86" i="1" l="1"/>
  <c r="AO88" i="1"/>
  <c r="AO84" i="1"/>
  <c r="AR87" i="1"/>
  <c r="AN86" i="1"/>
  <c r="AN85" i="1"/>
  <c r="AS84" i="1"/>
  <c r="AL84" i="1"/>
  <c r="AM84" i="1"/>
  <c r="AS88" i="1"/>
  <c r="AK84" i="1"/>
  <c r="AP84" i="1"/>
  <c r="AK88" i="1"/>
  <c r="AQ85" i="1"/>
  <c r="AP88" i="1"/>
  <c r="AK89" i="1"/>
  <c r="AK86" i="1"/>
  <c r="AQ89" i="1"/>
  <c r="AO87" i="1"/>
  <c r="AL87" i="1"/>
  <c r="AQ88" i="1"/>
  <c r="AN87" i="1"/>
  <c r="AL88" i="1"/>
  <c r="AM87" i="1"/>
  <c r="AP85" i="1"/>
  <c r="AL86" i="1"/>
  <c r="AM85" i="1"/>
  <c r="AO89" i="1"/>
  <c r="AK85" i="1"/>
  <c r="AP86" i="1"/>
  <c r="AN89" i="1"/>
  <c r="AL89" i="1"/>
  <c r="AO86" i="1"/>
  <c r="AS89" i="1"/>
  <c r="AP87" i="1"/>
  <c r="AN88" i="1"/>
  <c r="E24" i="1" l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J24" i="1" a="1"/>
  <c r="AJ24" i="1"/>
  <c r="AK24" i="1" a="1"/>
  <c r="AK24" i="1"/>
  <c r="AL24" i="1" a="1"/>
  <c r="AL24" i="1"/>
  <c r="AM24" i="1" a="1"/>
  <c r="AM24" i="1"/>
  <c r="AN24" i="1" a="1"/>
  <c r="AN24" i="1"/>
  <c r="AO24" i="1" a="1"/>
  <c r="AO24" i="1"/>
  <c r="AP24" i="1" a="1"/>
  <c r="AP24" i="1"/>
  <c r="AQ24" i="1" a="1"/>
  <c r="AQ24" i="1"/>
  <c r="AR24" i="1" a="1"/>
  <c r="AR24" i="1"/>
  <c r="AS24" i="1" a="1"/>
  <c r="AS24" i="1"/>
  <c r="AU24" i="1" a="1"/>
  <c r="AU24" i="1"/>
  <c r="AV24" i="1" a="1"/>
  <c r="AV24" i="1"/>
  <c r="AW24" i="1" a="1"/>
  <c r="AW24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J25" i="1" a="1"/>
  <c r="AJ25" i="1"/>
  <c r="AK25" i="1" a="1"/>
  <c r="AK25" i="1"/>
  <c r="AL25" i="1" a="1"/>
  <c r="AL25" i="1"/>
  <c r="AM25" i="1" a="1"/>
  <c r="AM25" i="1"/>
  <c r="AN25" i="1" a="1"/>
  <c r="AN25" i="1"/>
  <c r="AO25" i="1" a="1"/>
  <c r="AO25" i="1"/>
  <c r="AP25" i="1" a="1"/>
  <c r="AP25" i="1"/>
  <c r="AQ25" i="1" a="1"/>
  <c r="AQ25" i="1"/>
  <c r="AR25" i="1" a="1"/>
  <c r="AR25" i="1"/>
  <c r="AS25" i="1" a="1"/>
  <c r="AS25" i="1"/>
  <c r="AU25" i="1" a="1"/>
  <c r="AU25" i="1"/>
  <c r="AV25" i="1" a="1"/>
  <c r="AV25" i="1"/>
  <c r="AW25" i="1" a="1"/>
  <c r="AW25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J27" i="1"/>
  <c r="AK27" i="1"/>
  <c r="AL27" i="1"/>
  <c r="AM27" i="1"/>
  <c r="AN27" i="1"/>
  <c r="AO27" i="1"/>
  <c r="AP27" i="1"/>
  <c r="AQ27" i="1"/>
  <c r="AR27" i="1"/>
  <c r="AS27" i="1"/>
  <c r="AU27" i="1"/>
  <c r="AV27" i="1"/>
  <c r="AW27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J30" i="1"/>
  <c r="AK30" i="1"/>
  <c r="AL30" i="1"/>
  <c r="AM30" i="1"/>
  <c r="AN30" i="1"/>
  <c r="AO30" i="1"/>
  <c r="AP30" i="1"/>
  <c r="AQ30" i="1"/>
  <c r="AR30" i="1"/>
  <c r="AS30" i="1"/>
  <c r="AU30" i="1"/>
  <c r="AV30" i="1"/>
  <c r="AW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J132" i="1" a="1"/>
  <c r="AJ132" i="1"/>
  <c r="AK132" i="1" a="1"/>
  <c r="AK132" i="1"/>
  <c r="AL132" i="1" a="1"/>
  <c r="AL132" i="1"/>
  <c r="AM132" i="1" a="1"/>
  <c r="AM132" i="1"/>
  <c r="AN132" i="1" a="1"/>
  <c r="AN132" i="1"/>
  <c r="AO132" i="1" a="1"/>
  <c r="AO132" i="1"/>
  <c r="AP132" i="1" a="1"/>
  <c r="AP132" i="1"/>
  <c r="AQ132" i="1" a="1"/>
  <c r="AQ132" i="1"/>
  <c r="AR132" i="1" a="1"/>
  <c r="AR132" i="1"/>
  <c r="AS132" i="1" a="1"/>
  <c r="AS132" i="1"/>
  <c r="AU132" i="1" a="1"/>
  <c r="AU132" i="1"/>
  <c r="AV132" i="1" a="1"/>
  <c r="AV132" i="1"/>
  <c r="AW132" i="1" a="1"/>
  <c r="AW132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J139" i="1" a="1"/>
  <c r="AJ139" i="1"/>
  <c r="AK139" i="1" a="1"/>
  <c r="AK139" i="1"/>
  <c r="AL139" i="1" a="1"/>
  <c r="AL139" i="1"/>
  <c r="AM139" i="1" a="1"/>
  <c r="AM139" i="1"/>
  <c r="AN139" i="1" a="1"/>
  <c r="AN139" i="1"/>
  <c r="AO139" i="1" a="1"/>
  <c r="AO139" i="1"/>
  <c r="AP139" i="1" a="1"/>
  <c r="AP139" i="1"/>
  <c r="AQ139" i="1" a="1"/>
  <c r="AQ139" i="1"/>
  <c r="AR139" i="1" a="1"/>
  <c r="AR139" i="1"/>
  <c r="AS139" i="1" a="1"/>
  <c r="AS139" i="1"/>
  <c r="AU139" i="1" a="1"/>
  <c r="AU139" i="1"/>
  <c r="AV139" i="1" a="1"/>
  <c r="AV139" i="1"/>
  <c r="AW139" i="1" a="1"/>
  <c r="AW139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J182" i="1"/>
  <c r="AK182" i="1"/>
  <c r="AL182" i="1"/>
  <c r="AM182" i="1"/>
  <c r="AN182" i="1"/>
  <c r="AO182" i="1"/>
  <c r="AP182" i="1"/>
  <c r="AQ182" i="1"/>
  <c r="AR182" i="1"/>
  <c r="AS182" i="1"/>
  <c r="AU182" i="1"/>
  <c r="AV182" i="1"/>
  <c r="AW182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J184" i="1"/>
  <c r="AK184" i="1"/>
  <c r="AL184" i="1"/>
  <c r="AM184" i="1"/>
  <c r="AN184" i="1"/>
  <c r="AO184" i="1"/>
  <c r="AP184" i="1"/>
  <c r="AQ184" i="1"/>
  <c r="AR184" i="1"/>
  <c r="AS184" i="1"/>
  <c r="AU184" i="1"/>
  <c r="AV184" i="1"/>
  <c r="AW1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tc={3E09E808-9EB1-864A-8214-F6B0F3E00AF4}</author>
    <author>tc={59E0E342-103F-D640-B774-C6EC8E819AAD}</author>
    <author>tc={8DB13008-E148-9341-A02C-E9242D8C4B6A}</author>
    <author>tc={E654C1A9-25A0-DA4D-BDA4-E1D9003A6228}</author>
    <author>tc={BDDFC6C0-9DA1-3944-BAD0-53AEE0D852C4}</author>
    <author>tc={62C2FCAD-D6B5-0C4B-88E5-137167318948}</author>
    <author>tc={C2C46713-71A1-1F44-9589-4CFC5FA30B48}</author>
    <author>tc={ECFE618D-BD45-3749-95ED-D8C5A78F767D}</author>
    <author>tc={50FA88C7-8D5C-5743-A9BB-C2446B773231}</author>
    <author>tc={873C4F63-293D-BB4C-9A00-FFE7E88E5B60}</author>
    <author>tc={90C6A508-1B8F-EF46-8CB6-181288EC86CA}</author>
    <author>tc={F5002605-78FE-8846-8C12-6F814FD6DB2A}</author>
    <author>tc={5B79054C-3F38-E94B-BB1F-7272488E0957}</author>
    <author>tc={0534E193-86D9-B04B-AB21-6CCE1BA173F5}</author>
    <author>tc={8CB3F969-3449-914C-8884-AC57AA1A69AB}</author>
    <author>tc={C763A4EC-3BF1-304B-B047-74ED94B397E9}</author>
    <author>tc={96666C0E-AD9F-E94D-B4B1-EED6E170BBEA}</author>
    <author>tc={2E13573F-1FCF-B648-BEF4-81B8A9D34EF3}</author>
  </authors>
  <commentList>
    <comment ref="W36" authorId="0" shapeId="0" xr:uid="{3E09E808-9EB1-864A-8214-F6B0F3E00A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 Lease Agreement from Accounting. Rent expenses will increase from Jan’2022
</t>
      </text>
    </comment>
    <comment ref="C47" authorId="1" shapeId="0" xr:uid="{59E0E342-103F-D640-B774-C6EC8E819AA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link to BS and build depreciation schedule here</t>
      </text>
    </comment>
    <comment ref="E47" authorId="2" shapeId="0" xr:uid="{8DB13008-E148-9341-A02C-E9242D8C4B6A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hard-coded, update w/ formula when we get to the balance sheet portion</t>
      </text>
    </comment>
    <comment ref="E53" authorId="3" shapeId="0" xr:uid="{E654C1A9-25A0-DA4D-BDA4-E1D9003A622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hard-coded, update w/ formula when we get to the balance sheet portion</t>
      </text>
    </comment>
    <comment ref="E65" authorId="4" shapeId="0" xr:uid="{BDDFC6C0-9DA1-3944-BAD0-53AEE0D852C4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hard-coded, update w/ formula when we get to the Revenue section</t>
      </text>
    </comment>
    <comment ref="E72" authorId="5" shapeId="0" xr:uid="{62C2FCAD-D6B5-0C4B-88E5-13716731894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hard-coded, update w/ formula when we get to the Revenue section</t>
      </text>
    </comment>
    <comment ref="E77" authorId="6" shapeId="0" xr:uid="{C2C46713-71A1-1F44-9589-4CFC5FA30B4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hard-coded, update w/ formula when we get to the Revenue section</t>
      </text>
    </comment>
    <comment ref="E103" authorId="7" shapeId="0" xr:uid="{ECFE618D-BD45-3749-95ED-D8C5A78F767D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for now, update w/ references once headcount is updated</t>
      </text>
    </comment>
    <comment ref="E130" authorId="8" shapeId="0" xr:uid="{50FA88C7-8D5C-5743-A9BB-C2446B773231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for now, update w/ references once headcount is updated</t>
      </text>
    </comment>
    <comment ref="E135" authorId="9" shapeId="0" xr:uid="{873C4F63-293D-BB4C-9A00-FFE7E88E5B60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for now, update w/ references once headcount is updated</t>
      </text>
    </comment>
    <comment ref="E136" authorId="10" shapeId="0" xr:uid="{90C6A508-1B8F-EF46-8CB6-181288EC86CA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for now, update w/ references once headcount is updated</t>
      </text>
    </comment>
    <comment ref="E142" authorId="11" shapeId="0" xr:uid="{F5002605-78FE-8846-8C12-6F814FD6DB2A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from revenue, update when revenue section is completed</t>
      </text>
    </comment>
    <comment ref="Q148" authorId="12" shapeId="0" xr:uid="{5B79054C-3F38-E94B-BB1F-7272488E0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discussion with head of search marketing, monthly agency fee increases to 18M starting Jul-21</t>
      </text>
    </comment>
    <comment ref="E152" authorId="13" shapeId="0" xr:uid="{0534E193-86D9-B04B-AB21-6CCE1BA1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from revenue, update when revenue section is completed</t>
      </text>
    </comment>
    <comment ref="E157" authorId="14" shapeId="0" xr:uid="{8CB3F969-3449-914C-8884-AC57AA1A69AB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from revenue, update when revenue section is completed</t>
      </text>
    </comment>
    <comment ref="E165" authorId="15" shapeId="0" xr:uid="{C763A4EC-3BF1-304B-B047-74ED94B397E9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from BS, update once BS is completed</t>
      </text>
    </comment>
    <comment ref="E170" authorId="16" shapeId="0" xr:uid="{96666C0E-AD9F-E94D-B4B1-EED6E170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from BS, update once BS is completed</t>
      </text>
    </comment>
    <comment ref="E178" authorId="17" shapeId="0" xr:uid="{2E13573F-1FCF-B648-BEF4-81B8A9D34EF3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hard-coded from summary_income_statement, replace with link when we pull the summary statement together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<sst xmlns="http://schemas.openxmlformats.org/spreadsheetml/2006/main" count="251" uniqueCount="140">
  <si>
    <t>OPEX Forecasting</t>
  </si>
  <si>
    <t>Scenario</t>
  </si>
  <si>
    <t>Actual</t>
  </si>
  <si>
    <t>Forecast</t>
  </si>
  <si>
    <t>Jun_Fcst</t>
  </si>
  <si>
    <t>Year</t>
  </si>
  <si>
    <t>Quarter</t>
  </si>
  <si>
    <t>Q3</t>
  </si>
  <si>
    <t>Q4</t>
  </si>
  <si>
    <t>Month_num</t>
  </si>
  <si>
    <t>Date</t>
  </si>
  <si>
    <t>Formatted</t>
  </si>
  <si>
    <t>x</t>
  </si>
  <si>
    <t>Expense Summary</t>
  </si>
  <si>
    <r>
      <t xml:space="preserve">Expense Summary </t>
    </r>
    <r>
      <rPr>
        <i/>
        <sz val="11"/>
        <color theme="1"/>
        <rFont val="Aptos Narrow"/>
        <family val="2"/>
        <scheme val="minor"/>
      </rPr>
      <t>(millions)</t>
    </r>
  </si>
  <si>
    <t>Server Hosting</t>
  </si>
  <si>
    <t>Credit Card Processing Fees</t>
  </si>
  <si>
    <t>Bad Debt</t>
  </si>
  <si>
    <t>Cost of Goods Sold</t>
  </si>
  <si>
    <t>Rent Expenses</t>
  </si>
  <si>
    <t>Depreciation</t>
  </si>
  <si>
    <t>Amortization</t>
  </si>
  <si>
    <t>Salary</t>
  </si>
  <si>
    <t>Bonus</t>
  </si>
  <si>
    <t>Healthcare</t>
  </si>
  <si>
    <t>T&amp;E</t>
  </si>
  <si>
    <t>Marketing</t>
  </si>
  <si>
    <t>Operating Expenses</t>
  </si>
  <si>
    <t>Interest Expense</t>
  </si>
  <si>
    <t>Taxes</t>
  </si>
  <si>
    <t>Total Expenses</t>
  </si>
  <si>
    <t>Detailed Expense Schedules</t>
  </si>
  <si>
    <t>Fixed Expenses</t>
  </si>
  <si>
    <t>Rental Expenses</t>
  </si>
  <si>
    <t>Seattle Office</t>
  </si>
  <si>
    <t>Per lease agreement rent will increase to $1.8M/month starting Jan'22</t>
  </si>
  <si>
    <t>San Francisco Office</t>
  </si>
  <si>
    <t>Per lease agreement rent will increase to $2.8M/month starting Jan'22</t>
  </si>
  <si>
    <t>New York Office</t>
  </si>
  <si>
    <t>Chicago Office</t>
  </si>
  <si>
    <t>Total Rent Expense</t>
  </si>
  <si>
    <t>Total Fixed Expenses</t>
  </si>
  <si>
    <t>Semi-Fixed Expenses</t>
  </si>
  <si>
    <t>Depreciation Summary</t>
  </si>
  <si>
    <t>Gross PP&amp;E</t>
  </si>
  <si>
    <t>Average Useful Life</t>
  </si>
  <si>
    <t>Depreciation Expense as % of Gross PP&amp;E</t>
  </si>
  <si>
    <t>Total Depreciation Expense</t>
  </si>
  <si>
    <t>Amortization Expenses</t>
  </si>
  <si>
    <t>Definite-Lived Intangible Assets, Gross</t>
  </si>
  <si>
    <t>Annual Amortization %</t>
  </si>
  <si>
    <t>Used most recent monthly average</t>
  </si>
  <si>
    <t>Amortization Expense</t>
  </si>
  <si>
    <t>Total Semi-Fixed Expenses</t>
  </si>
  <si>
    <t>Cost of Sales</t>
  </si>
  <si>
    <t>L6M simple</t>
  </si>
  <si>
    <t>Server Hosting Expenses</t>
  </si>
  <si>
    <t>Monthly Hosting Fees</t>
  </si>
  <si>
    <t>Flat Fee regardless of usage</t>
  </si>
  <si>
    <r>
      <t xml:space="preserve">Monthly Visitors </t>
    </r>
    <r>
      <rPr>
        <i/>
        <sz val="11"/>
        <color theme="1"/>
        <rFont val="Aptos Narrow"/>
        <family val="2"/>
        <scheme val="minor"/>
      </rPr>
      <t xml:space="preserve">(Thousands) </t>
    </r>
  </si>
  <si>
    <t>This likely would be tied to expectations around customer levels</t>
  </si>
  <si>
    <t>Cost per server ping</t>
  </si>
  <si>
    <t>6M average. Could set it up to be prior year + inflation as well if that makes more sense</t>
  </si>
  <si>
    <t xml:space="preserve">Server Activity Fees (Millions) </t>
  </si>
  <si>
    <t>Total Server Hosting Expenses</t>
  </si>
  <si>
    <t>py m</t>
  </si>
  <si>
    <t>Gross Merchandise Value</t>
  </si>
  <si>
    <t>Average Processing Fee %</t>
  </si>
  <si>
    <t>Total Credit Card Processing Fees</t>
  </si>
  <si>
    <t>Bad Debt Expense Summary</t>
  </si>
  <si>
    <t>Credit Sales</t>
  </si>
  <si>
    <t>% of Uncollectible Credit Sales</t>
  </si>
  <si>
    <t>Total Bad Debt Expense</t>
  </si>
  <si>
    <t>Total Cost of Sales</t>
  </si>
  <si>
    <t>Cost of Sales Summary</t>
  </si>
  <si>
    <t>Air COS Allocation - (% of COS)</t>
  </si>
  <si>
    <t>Hotel COS Allocation - (% of COS)</t>
  </si>
  <si>
    <t>Car COS Allocation - (% of COS)</t>
  </si>
  <si>
    <t>Local Experience COS Allocation - (% of COS)</t>
  </si>
  <si>
    <t>Insurance COS Allocation - (% of COS)</t>
  </si>
  <si>
    <t>Advertising COS Allocation - (% of COS)</t>
  </si>
  <si>
    <t>Air</t>
  </si>
  <si>
    <t>Hotel</t>
  </si>
  <si>
    <t>Car</t>
  </si>
  <si>
    <t>Local Experience</t>
  </si>
  <si>
    <t>Insurance</t>
  </si>
  <si>
    <t>Advertising</t>
  </si>
  <si>
    <t>Variable Expenses</t>
  </si>
  <si>
    <t>Salary Expenses Summary</t>
  </si>
  <si>
    <t>Headcount (FTE)</t>
  </si>
  <si>
    <t>Employees</t>
  </si>
  <si>
    <t>Contractors</t>
  </si>
  <si>
    <t>Vendors</t>
  </si>
  <si>
    <t>Total Headcount (FTE)</t>
  </si>
  <si>
    <r>
      <t>Average Salary (</t>
    </r>
    <r>
      <rPr>
        <sz val="11"/>
        <color theme="1"/>
        <rFont val="Aptos Narrow"/>
        <family val="2"/>
        <scheme val="minor"/>
      </rPr>
      <t>USD</t>
    </r>
    <r>
      <rPr>
        <b/>
        <sz val="11"/>
        <color theme="1"/>
        <rFont val="Aptos Narrow"/>
        <family val="2"/>
        <scheme val="minor"/>
      </rPr>
      <t>)</t>
    </r>
  </si>
  <si>
    <r>
      <t xml:space="preserve">Salary Growth Rates 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monthly</t>
    </r>
    <r>
      <rPr>
        <sz val="11"/>
        <color theme="1"/>
        <rFont val="Aptos Narrow"/>
        <family val="2"/>
        <scheme val="minor"/>
      </rPr>
      <t>)</t>
    </r>
  </si>
  <si>
    <r>
      <t xml:space="preserve">Salary Expense 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millions</t>
    </r>
    <r>
      <rPr>
        <sz val="11"/>
        <color theme="1"/>
        <rFont val="Aptos Narrow"/>
        <family val="2"/>
        <scheme val="minor"/>
      </rPr>
      <t>)</t>
    </r>
  </si>
  <si>
    <t>Total Salary Expense</t>
  </si>
  <si>
    <t>Bonus Expense Summary</t>
  </si>
  <si>
    <t>Prior month's Annualized Salary expense</t>
  </si>
  <si>
    <t>Bonus - % of Annualized Salaries</t>
  </si>
  <si>
    <t>Bonus Expense</t>
  </si>
  <si>
    <t>Healthcare Expenses</t>
  </si>
  <si>
    <t>Employees (FTE)</t>
  </si>
  <si>
    <t>Average Healthcare Premiums per Employee</t>
  </si>
  <si>
    <t>L12M simple</t>
  </si>
  <si>
    <t>Travel &amp; Entertainment Expenses</t>
  </si>
  <si>
    <t>Contractors (FTE)</t>
  </si>
  <si>
    <t>Headcount with Allowable T&amp;E</t>
  </si>
  <si>
    <t>Average T&amp;E per Employee</t>
  </si>
  <si>
    <t>Marketing Expense Summary</t>
  </si>
  <si>
    <t>Total Revenues (from IS)</t>
  </si>
  <si>
    <t>% of Revenues</t>
  </si>
  <si>
    <t>Brand Marketing</t>
  </si>
  <si>
    <t>Variable Marketing</t>
  </si>
  <si>
    <t>Search - Organic</t>
  </si>
  <si>
    <t>SEO Agency Fee</t>
  </si>
  <si>
    <t>Total Search - Organic</t>
  </si>
  <si>
    <t>Search - Paid</t>
  </si>
  <si>
    <t>Paid Visitors</t>
  </si>
  <si>
    <t>Average Cost per Click</t>
  </si>
  <si>
    <t>Total Search - Paid</t>
  </si>
  <si>
    <t>Partner Referrals</t>
  </si>
  <si>
    <t>Partner Referral Visitors</t>
  </si>
  <si>
    <t>Total Partner Referrals</t>
  </si>
  <si>
    <t>Total Variable Marketing</t>
  </si>
  <si>
    <t>Total Marketing Expense</t>
  </si>
  <si>
    <t>Interest Expense Summary</t>
  </si>
  <si>
    <t>Beginning ST Debt Balance</t>
  </si>
  <si>
    <t>Wtd Avg. Annual Interest Rate</t>
  </si>
  <si>
    <t>Average Monthly Interest Rate on Debt</t>
  </si>
  <si>
    <t>ST Interest Expense</t>
  </si>
  <si>
    <t>Beginning LT Debt Balance</t>
  </si>
  <si>
    <t>LT Interest Expense</t>
  </si>
  <si>
    <t>Total Interest Expense</t>
  </si>
  <si>
    <t>Tax Expense Summary</t>
  </si>
  <si>
    <t>Pre-tax Operating Income</t>
  </si>
  <si>
    <t>Effective Tax Rate</t>
  </si>
  <si>
    <t>Total Tax Expense</t>
  </si>
  <si>
    <t>Total Variable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</si>
</sst>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_);\(#,##0.0\)"/>
    <numFmt numFmtId="165" formatCode="_(#,##0.0_);\(#,##0.0\);_(&quot;-&quot;_)"/>
    <numFmt numFmtId="166" formatCode="#&quot; days&quot;"/>
    <numFmt numFmtId="167" formatCode="#&quot; years&quot;"/>
    <numFmt numFmtId="168" formatCode="_(0.00%_);\(0.00%\);_(&quot;-&quot;_)"/>
    <numFmt numFmtId="169" formatCode="_(#,##0_);\(#,##0\);_(&quot;-&quot;_)"/>
    <numFmt numFmtId="170" formatCode="_(#,##0.00_);\(#,##0.00\);_(&quot;-&quot;_)"/>
    <numFmt numFmtId="171" formatCode="&quot;$&quot;#,##0.00_);\(&quot;$&quot;#,##0.00\)"/>
    <numFmt numFmtId="172" formatCode="&quot;$&quot;#,##0_);\(&quot;$&quot;#,##0\)"/>
    <numFmt numFmtId="173" formatCode="#,##0.0,_);\(#,##0.0,\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3" borderId="1" applyNumberFormat="0" applyBorder="0" applyAlignment="0" applyProtection="0"/>
    <xf numFmtId="165" fontId="1" fillId="0" borderId="0" applyBorder="0" applyAlignment="0" applyProtection="0"/>
    <xf numFmtId="165" fontId="2" fillId="3" borderId="0" applyBorder="0" applyAlignment="0" applyProtection="0"/>
    <xf numFmtId="165" fontId="9" fillId="0" borderId="0" applyBorder="0" applyAlignment="0" applyProtection="0"/>
    <xf numFmtId="166" fontId="2" fillId="3" borderId="0" applyBorder="0" applyAlignment="0" applyProtection="0"/>
    <xf numFmtId="168" fontId="2" fillId="3" borderId="0" applyBorder="0" applyAlignment="0" applyProtection="0"/>
    <xf numFmtId="169" fontId="9" fillId="0" borderId="0" applyBorder="0" applyAlignment="0" applyProtection="0"/>
    <xf numFmtId="168" fontId="1" fillId="0" borderId="0" applyBorder="0" applyAlignment="0" applyProtection="0"/>
    <xf numFmtId="169" fontId="10" fillId="0" borderId="0" applyBorder="0" applyAlignment="0" applyProtection="0"/>
    <xf numFmtId="171" fontId="10" fillId="0" borderId="5" applyBorder="0" applyAlignment="0" applyProtection="0"/>
    <xf numFmtId="37" fontId="2" fillId="3" borderId="0" applyBorder="0" applyAlignment="0" applyProtection="0"/>
    <xf numFmtId="173" fontId="1" fillId="0" borderId="0" applyFill="0" applyBorder="0" applyAlignment="0" applyProtection="0"/>
    <xf numFmtId="171" fontId="2" fillId="3" borderId="0" applyBorder="0" applyAlignment="0" applyProtection="0"/>
  </cellStyleXfs>
  <cellXfs count="130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17" fontId="2" fillId="3" borderId="0" xfId="1" applyNumberFormat="1" applyBorder="1" applyAlignment="1">
      <alignment horizontal="right"/>
    </xf>
    <xf numFmtId="17" fontId="0" fillId="0" borderId="0" xfId="0" applyNumberFormat="1" applyAlignment="1">
      <alignment horizontal="right"/>
    </xf>
    <xf numFmtId="17" fontId="0" fillId="0" borderId="2" xfId="0" applyNumberForma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/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right"/>
    </xf>
    <xf numFmtId="165" fontId="1" fillId="0" borderId="0" xfId="2"/>
    <xf numFmtId="165" fontId="1" fillId="0" borderId="2" xfId="2" applyBorder="1"/>
    <xf numFmtId="165" fontId="0" fillId="0" borderId="0" xfId="0" applyNumberFormat="1" applyAlignment="1">
      <alignment horizontal="right"/>
    </xf>
    <xf numFmtId="0" fontId="0" fillId="0" borderId="5" xfId="0" applyBorder="1" applyAlignment="1">
      <alignment horizontal="left" indent="1"/>
    </xf>
    <xf numFmtId="0" fontId="3" fillId="0" borderId="5" xfId="0" applyFont="1" applyBorder="1"/>
    <xf numFmtId="165" fontId="0" fillId="0" borderId="5" xfId="0" applyNumberFormat="1" applyBorder="1" applyAlignment="1">
      <alignment horizontal="right"/>
    </xf>
    <xf numFmtId="165" fontId="1" fillId="0" borderId="5" xfId="2" applyBorder="1"/>
    <xf numFmtId="165" fontId="1" fillId="0" borderId="6" xfId="2" applyBorder="1"/>
    <xf numFmtId="164" fontId="3" fillId="0" borderId="0" xfId="0" applyNumberFormat="1" applyFont="1" applyAlignment="1">
      <alignment horizontal="right"/>
    </xf>
    <xf numFmtId="164" fontId="3" fillId="0" borderId="7" xfId="0" applyNumberFormat="1" applyFont="1" applyBorder="1" applyAlignment="1">
      <alignment horizontal="right"/>
    </xf>
    <xf numFmtId="0" fontId="0" fillId="0" borderId="5" xfId="0" applyBorder="1"/>
    <xf numFmtId="164" fontId="0" fillId="0" borderId="5" xfId="0" applyNumberFormat="1" applyBorder="1" applyAlignment="1">
      <alignment horizontal="right"/>
    </xf>
    <xf numFmtId="0" fontId="3" fillId="0" borderId="8" xfId="0" applyFont="1" applyBorder="1"/>
    <xf numFmtId="0" fontId="0" fillId="0" borderId="8" xfId="0" applyBorder="1"/>
    <xf numFmtId="165" fontId="3" fillId="0" borderId="8" xfId="0" applyNumberFormat="1" applyFont="1" applyBorder="1" applyAlignment="1">
      <alignment horizontal="right"/>
    </xf>
    <xf numFmtId="165" fontId="3" fillId="0" borderId="9" xfId="0" applyNumberFormat="1" applyFont="1" applyBorder="1" applyAlignment="1">
      <alignment horizontal="right"/>
    </xf>
    <xf numFmtId="0" fontId="8" fillId="5" borderId="0" xfId="0" applyFont="1" applyFill="1"/>
    <xf numFmtId="0" fontId="5" fillId="5" borderId="0" xfId="0" applyFont="1" applyFill="1"/>
    <xf numFmtId="0" fontId="6" fillId="5" borderId="0" xfId="0" applyFont="1" applyFill="1"/>
    <xf numFmtId="165" fontId="2" fillId="3" borderId="0" xfId="3" applyBorder="1"/>
    <xf numFmtId="165" fontId="2" fillId="3" borderId="2" xfId="3" applyBorder="1"/>
    <xf numFmtId="165" fontId="1" fillId="0" borderId="0" xfId="2" applyAlignment="1">
      <alignment horizontal="right"/>
    </xf>
    <xf numFmtId="165" fontId="1" fillId="6" borderId="0" xfId="2" applyFill="1"/>
    <xf numFmtId="165" fontId="2" fillId="3" borderId="5" xfId="3" applyBorder="1"/>
    <xf numFmtId="165" fontId="2" fillId="3" borderId="6" xfId="3" applyBorder="1"/>
    <xf numFmtId="165" fontId="0" fillId="0" borderId="5" xfId="0" applyNumberFormat="1" applyBorder="1"/>
    <xf numFmtId="165" fontId="0" fillId="0" borderId="6" xfId="0" applyNumberFormat="1" applyBorder="1"/>
    <xf numFmtId="0" fontId="0" fillId="0" borderId="0" xfId="0" applyAlignment="1">
      <alignment horizontal="left"/>
    </xf>
    <xf numFmtId="165" fontId="1" fillId="0" borderId="7" xfId="2" applyBorder="1"/>
    <xf numFmtId="165" fontId="1" fillId="0" borderId="10" xfId="2" applyBorder="1"/>
    <xf numFmtId="165" fontId="0" fillId="0" borderId="0" xfId="0" applyNumberFormat="1"/>
    <xf numFmtId="165" fontId="0" fillId="0" borderId="2" xfId="0" applyNumberFormat="1" applyBorder="1"/>
    <xf numFmtId="0" fontId="3" fillId="0" borderId="8" xfId="0" applyFont="1" applyBorder="1" applyAlignment="1">
      <alignment horizontal="left"/>
    </xf>
    <xf numFmtId="165" fontId="3" fillId="0" borderId="8" xfId="0" applyNumberFormat="1" applyFont="1" applyBorder="1"/>
    <xf numFmtId="165" fontId="3" fillId="0" borderId="9" xfId="0" applyNumberFormat="1" applyFont="1" applyBorder="1"/>
    <xf numFmtId="0" fontId="0" fillId="2" borderId="0" xfId="0" applyFill="1" applyAlignment="1">
      <alignment horizontal="left" indent="1"/>
    </xf>
    <xf numFmtId="165" fontId="9" fillId="0" borderId="0" xfId="4"/>
    <xf numFmtId="165" fontId="9" fillId="0" borderId="0" xfId="4" applyBorder="1"/>
    <xf numFmtId="165" fontId="9" fillId="0" borderId="2" xfId="4" applyBorder="1"/>
    <xf numFmtId="167" fontId="2" fillId="3" borderId="0" xfId="5" applyNumberFormat="1"/>
    <xf numFmtId="168" fontId="2" fillId="3" borderId="5" xfId="6" applyBorder="1"/>
    <xf numFmtId="0" fontId="0" fillId="0" borderId="6" xfId="0" applyBorder="1"/>
    <xf numFmtId="165" fontId="1" fillId="0" borderId="0" xfId="2" applyBorder="1"/>
    <xf numFmtId="165" fontId="1" fillId="0" borderId="0" xfId="2" applyBorder="1" applyAlignment="1">
      <alignment horizontal="center"/>
    </xf>
    <xf numFmtId="165" fontId="2" fillId="3" borderId="0" xfId="3"/>
    <xf numFmtId="164" fontId="3" fillId="0" borderId="8" xfId="0" applyNumberFormat="1" applyFont="1" applyBorder="1"/>
    <xf numFmtId="164" fontId="3" fillId="0" borderId="9" xfId="0" applyNumberFormat="1" applyFont="1" applyBorder="1"/>
    <xf numFmtId="165" fontId="2" fillId="0" borderId="0" xfId="3" applyFill="1" applyBorder="1"/>
    <xf numFmtId="165" fontId="2" fillId="0" borderId="2" xfId="3" applyFill="1" applyBorder="1"/>
    <xf numFmtId="0" fontId="0" fillId="0" borderId="0" xfId="0" applyAlignment="1">
      <alignment horizontal="left" indent="2"/>
    </xf>
    <xf numFmtId="165" fontId="9" fillId="0" borderId="0" xfId="7" applyNumberFormat="1"/>
    <xf numFmtId="169" fontId="9" fillId="0" borderId="0" xfId="7"/>
    <xf numFmtId="169" fontId="9" fillId="0" borderId="0" xfId="7" applyBorder="1"/>
    <xf numFmtId="169" fontId="9" fillId="0" borderId="2" xfId="7" applyBorder="1"/>
    <xf numFmtId="170" fontId="1" fillId="0" borderId="0" xfId="2" applyNumberFormat="1"/>
    <xf numFmtId="170" fontId="1" fillId="0" borderId="2" xfId="2" applyNumberFormat="1" applyBorder="1"/>
    <xf numFmtId="164" fontId="3" fillId="0" borderId="0" xfId="0" applyNumberFormat="1" applyFont="1"/>
    <xf numFmtId="164" fontId="3" fillId="0" borderId="7" xfId="0" applyNumberFormat="1" applyFont="1" applyBorder="1"/>
    <xf numFmtId="164" fontId="3" fillId="0" borderId="2" xfId="0" applyNumberFormat="1" applyFont="1" applyBorder="1"/>
    <xf numFmtId="168" fontId="1" fillId="0" borderId="5" xfId="8" applyBorder="1"/>
    <xf numFmtId="168" fontId="1" fillId="0" borderId="0" xfId="8"/>
    <xf numFmtId="168" fontId="1" fillId="0" borderId="7" xfId="8" applyBorder="1"/>
    <xf numFmtId="168" fontId="0" fillId="0" borderId="0" xfId="0" applyNumberFormat="1"/>
    <xf numFmtId="168" fontId="0" fillId="0" borderId="7" xfId="0" applyNumberFormat="1" applyBorder="1"/>
    <xf numFmtId="168" fontId="1" fillId="0" borderId="2" xfId="8" applyBorder="1"/>
    <xf numFmtId="168" fontId="0" fillId="0" borderId="2" xfId="0" applyNumberFormat="1" applyBorder="1"/>
    <xf numFmtId="168" fontId="1" fillId="0" borderId="0" xfId="8" applyBorder="1"/>
    <xf numFmtId="165" fontId="1" fillId="0" borderId="11" xfId="2" applyBorder="1"/>
    <xf numFmtId="165" fontId="0" fillId="0" borderId="7" xfId="0" applyNumberFormat="1" applyBorder="1"/>
    <xf numFmtId="0" fontId="0" fillId="0" borderId="7" xfId="0" applyBorder="1"/>
    <xf numFmtId="169" fontId="10" fillId="0" borderId="0" xfId="9"/>
    <xf numFmtId="169" fontId="10" fillId="0" borderId="2" xfId="9" applyBorder="1"/>
    <xf numFmtId="169" fontId="9" fillId="0" borderId="5" xfId="7" applyBorder="1"/>
    <xf numFmtId="169" fontId="9" fillId="0" borderId="6" xfId="7" applyBorder="1"/>
    <xf numFmtId="169" fontId="10" fillId="0" borderId="5" xfId="9" applyBorder="1"/>
    <xf numFmtId="169" fontId="10" fillId="0" borderId="6" xfId="9" applyBorder="1"/>
    <xf numFmtId="169" fontId="10" fillId="0" borderId="7" xfId="9" applyBorder="1"/>
    <xf numFmtId="0" fontId="3" fillId="0" borderId="0" xfId="0" applyFont="1" applyAlignment="1">
      <alignment horizontal="left"/>
    </xf>
    <xf numFmtId="172" fontId="10" fillId="0" borderId="0" xfId="10" applyNumberFormat="1" applyBorder="1"/>
    <xf numFmtId="172" fontId="10" fillId="0" borderId="2" xfId="10" applyNumberFormat="1" applyBorder="1"/>
    <xf numFmtId="172" fontId="10" fillId="6" borderId="0" xfId="10" applyNumberFormat="1" applyFill="1" applyBorder="1"/>
    <xf numFmtId="172" fontId="0" fillId="0" borderId="0" xfId="0" applyNumberFormat="1"/>
    <xf numFmtId="172" fontId="0" fillId="0" borderId="2" xfId="0" applyNumberFormat="1" applyBorder="1"/>
    <xf numFmtId="0" fontId="0" fillId="7" borderId="0" xfId="0" applyFill="1" applyAlignment="1">
      <alignment horizontal="left" indent="1"/>
    </xf>
    <xf numFmtId="168" fontId="2" fillId="3" borderId="12" xfId="6" applyBorder="1"/>
    <xf numFmtId="168" fontId="2" fillId="3" borderId="0" xfId="6"/>
    <xf numFmtId="164" fontId="2" fillId="0" borderId="0" xfId="11" applyNumberFormat="1" applyFill="1"/>
    <xf numFmtId="165" fontId="1" fillId="0" borderId="8" xfId="2" applyBorder="1"/>
    <xf numFmtId="165" fontId="1" fillId="0" borderId="9" xfId="2" applyBorder="1"/>
    <xf numFmtId="173" fontId="3" fillId="0" borderId="0" xfId="12" applyFont="1" applyBorder="1"/>
    <xf numFmtId="0" fontId="0" fillId="0" borderId="13" xfId="0" applyBorder="1"/>
    <xf numFmtId="168" fontId="1" fillId="7" borderId="0" xfId="8" applyFill="1"/>
    <xf numFmtId="168" fontId="1" fillId="7" borderId="5" xfId="8" applyFill="1" applyBorder="1"/>
    <xf numFmtId="168" fontId="1" fillId="0" borderId="6" xfId="8" applyBorder="1"/>
    <xf numFmtId="0" fontId="0" fillId="0" borderId="5" xfId="0" applyBorder="1" applyAlignment="1">
      <alignment horizontal="left" indent="2"/>
    </xf>
    <xf numFmtId="168" fontId="1" fillId="8" borderId="0" xfId="8" applyFill="1"/>
    <xf numFmtId="165" fontId="1" fillId="0" borderId="0" xfId="8" applyNumberFormat="1"/>
    <xf numFmtId="165" fontId="2" fillId="0" borderId="0" xfId="3" applyFill="1"/>
    <xf numFmtId="0" fontId="0" fillId="0" borderId="5" xfId="0" applyBorder="1" applyAlignment="1">
      <alignment horizontal="left" indent="3"/>
    </xf>
    <xf numFmtId="165" fontId="10" fillId="0" borderId="0" xfId="3" applyFont="1" applyFill="1"/>
    <xf numFmtId="0" fontId="0" fillId="0" borderId="0" xfId="0" applyAlignment="1">
      <alignment horizontal="left" indent="3"/>
    </xf>
    <xf numFmtId="171" fontId="10" fillId="0" borderId="5" xfId="10" applyBorder="1"/>
    <xf numFmtId="171" fontId="2" fillId="3" borderId="5" xfId="13" applyBorder="1"/>
    <xf numFmtId="171" fontId="10" fillId="0" borderId="0" xfId="10" applyBorder="1"/>
    <xf numFmtId="0" fontId="0" fillId="0" borderId="12" xfId="0" applyBorder="1"/>
    <xf numFmtId="165" fontId="3" fillId="0" borderId="0" xfId="2" applyFont="1"/>
    <xf numFmtId="165" fontId="3" fillId="0" borderId="2" xfId="2" applyFont="1" applyBorder="1"/>
    <xf numFmtId="164" fontId="3" fillId="0" borderId="8" xfId="0" applyNumberFormat="1" applyFont="1" applyBorder="1" applyAlignment="1">
      <alignment horizontal="center"/>
    </xf>
  </cellXfs>
  <cellStyles count="14">
    <cellStyle name="Curr" xfId="10" xr:uid="{796A4705-531E-2C49-AAEE-CD1B8DEA2075}"/>
    <cellStyle name="Fin_Num" xfId="2" xr:uid="{0417743A-3B34-5D40-B09C-E82E0599FD13}"/>
    <cellStyle name="Fin_Num_thou" xfId="12" xr:uid="{C54293AB-86C2-B24E-B9E8-21ECC4CA3D44}"/>
    <cellStyle name="Inp_Curr" xfId="13" xr:uid="{B1E28A9B-B395-6B4C-84A9-A11051ECB5E6}"/>
    <cellStyle name="Inp_Days" xfId="5" xr:uid="{506B9453-D72A-2047-B32A-A62166B8F639}"/>
    <cellStyle name="Inp_FinNum" xfId="3" xr:uid="{CC73A703-1979-074B-8236-7B3A0959EB8D}"/>
    <cellStyle name="Inp_Pct" xfId="6" xr:uid="{DCAFD862-2995-0648-8414-43CC6EEE603D}"/>
    <cellStyle name="Input" xfId="1" builtinId="20"/>
    <cellStyle name="Input_Num" xfId="11" xr:uid="{12342526-4B18-3F4A-8C1D-E9F431DB1265}"/>
    <cellStyle name="Link_FinNum" xfId="4" xr:uid="{C924E550-27EF-2A4A-88F3-154EE572736B}"/>
    <cellStyle name="Link_Num" xfId="7" xr:uid="{FB957A1A-DAEB-A44A-BD1B-A4C61F70AE5A}"/>
    <cellStyle name="Normal" xfId="0" builtinId="0"/>
    <cellStyle name="Num" xfId="9" xr:uid="{4F999889-15ED-684E-B39A-B5EEAC085C79}"/>
    <cellStyle name="Pct" xfId="8" xr:uid="{25AFD643-54FE-EA4E-B8BB-7495E1824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Expense!$AZ$141</c:f>
          <c:strCache>
            <c:ptCount val="1"/>
            <c:pt idx="0">
              <c:v>Brand Marketing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Expense!$AZ$142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Expense!$BA$141:$BL$141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Expense!$BA$142:$BL$142</c:f>
              <c:numCache>
                <c:formatCode>_(0.00%_);\(0.00%\);_("-"_)</c:formatCode>
                <c:ptCount val="12"/>
                <c:pt idx="6" formatCode="_(#,##0.0_);\(#,##0.0\);_(&quot;-&quot;_)">
                  <c:v>85</c:v>
                </c:pt>
                <c:pt idx="7" formatCode="_(#,##0.0_);\(#,##0.0\);_(&quot;-&quot;_)">
                  <c:v>73</c:v>
                </c:pt>
                <c:pt idx="8" formatCode="_(#,##0.0_);\(#,##0.0\);_(&quot;-&quot;_)">
                  <c:v>45</c:v>
                </c:pt>
                <c:pt idx="9" formatCode="_(#,##0.0_);\(#,##0.0\);_(&quot;-&quot;_)">
                  <c:v>13</c:v>
                </c:pt>
                <c:pt idx="10" formatCode="_(#,##0.0_);\(#,##0.0\);_(&quot;-&quot;_)">
                  <c:v>13</c:v>
                </c:pt>
                <c:pt idx="11" formatCode="_(#,##0.0_);\(#,##0.0\);_(&quot;-&quot;_)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7-DC4A-BD57-55416952D61E}"/>
            </c:ext>
          </c:extLst>
        </c:ser>
        <c:ser>
          <c:idx val="1"/>
          <c:order val="1"/>
          <c:tx>
            <c:strRef>
              <c:f>Expense!$AZ$143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Expense!$BA$141:$BL$141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Expense!$BA$143:$BL$143</c:f>
              <c:numCache>
                <c:formatCode>_(#,##0.0_);\(#,##0.0\);_("-"_)</c:formatCode>
                <c:ptCount val="12"/>
                <c:pt idx="0">
                  <c:v>45</c:v>
                </c:pt>
                <c:pt idx="1">
                  <c:v>21</c:v>
                </c:pt>
                <c:pt idx="2">
                  <c:v>21</c:v>
                </c:pt>
                <c:pt idx="3">
                  <c:v>45</c:v>
                </c:pt>
                <c:pt idx="4">
                  <c:v>85</c:v>
                </c:pt>
                <c:pt idx="5">
                  <c:v>125</c:v>
                </c:pt>
                <c:pt idx="6">
                  <c:v>85</c:v>
                </c:pt>
                <c:pt idx="7">
                  <c:v>73</c:v>
                </c:pt>
                <c:pt idx="8">
                  <c:v>45</c:v>
                </c:pt>
                <c:pt idx="9">
                  <c:v>13</c:v>
                </c:pt>
                <c:pt idx="10">
                  <c:v>13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17-DC4A-BD57-55416952D61E}"/>
            </c:ext>
          </c:extLst>
        </c:ser>
        <c:ser>
          <c:idx val="2"/>
          <c:order val="2"/>
          <c:tx>
            <c:strRef>
              <c:f>Expense!$AZ$144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Expense!$BA$141:$BL$141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Expense!$BA$144:$BL$144</c:f>
              <c:numCache>
                <c:formatCode>_(#,##0.0_);\(#,##0.0\);_("-"_)</c:formatCode>
                <c:ptCount val="12"/>
                <c:pt idx="0">
                  <c:v>45</c:v>
                </c:pt>
                <c:pt idx="1">
                  <c:v>21</c:v>
                </c:pt>
                <c:pt idx="2">
                  <c:v>21</c:v>
                </c:pt>
                <c:pt idx="3">
                  <c:v>45</c:v>
                </c:pt>
                <c:pt idx="4">
                  <c:v>85</c:v>
                </c:pt>
                <c:pt idx="5">
                  <c:v>125</c:v>
                </c:pt>
                <c:pt idx="6">
                  <c:v>85</c:v>
                </c:pt>
                <c:pt idx="7">
                  <c:v>73</c:v>
                </c:pt>
                <c:pt idx="8">
                  <c:v>45</c:v>
                </c:pt>
                <c:pt idx="9">
                  <c:v>13</c:v>
                </c:pt>
                <c:pt idx="10">
                  <c:v>13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17-DC4A-BD57-55416952D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478624"/>
        <c:axId val="1664484864"/>
      </c:lineChart>
      <c:catAx>
        <c:axId val="166447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84864"/>
        <c:crosses val="autoZero"/>
        <c:auto val="1"/>
        <c:lblAlgn val="ctr"/>
        <c:lblOffset val="100"/>
        <c:noMultiLvlLbl val="0"/>
      </c:catAx>
      <c:valAx>
        <c:axId val="1664484864"/>
        <c:scaling>
          <c:orientation val="minMax"/>
        </c:scaling>
        <c:delete val="0"/>
        <c:axPos val="l"/>
        <c:numFmt formatCode="_(#,##0.0_);\(#,##0.0\);_(&quot;-&quot;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7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462086022802678"/>
          <c:y val="0.14991881253692477"/>
          <c:w val="0.54710849066759748"/>
          <c:h val="0.1209303637830731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300279</xdr:colOff>
      <xdr:row>145</xdr:row>
      <xdr:rowOff>1305</xdr:rowOff>
    </xdr:from>
    <xdr:to>
      <xdr:col>60</xdr:col>
      <xdr:colOff>137158</xdr:colOff>
      <xdr:row>156</xdr:row>
      <xdr:rowOff>165585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10CEA3-AB45-9F48-A45E-C9A9E8393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hanvidpatel/Documents/Additonal_Courses&amp;Certification/WSP/CorporateFinance_WSP/2.%20Building_OperatingModel/CFPAM2_Downloads/Income_Stmt_Problems.xlsx" TargetMode="External"/><Relationship Id="rId1" Type="http://schemas.openxmlformats.org/officeDocument/2006/relationships/externalLinkPath" Target="Income_Stmt_Proble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reat/Dropbox/Education/WSP/WSP%20FP&amp;A%20Module/09_Project_Analysis/02_Templates/09_Long_Range_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Income_Stmt"/>
      <sheetName val="Revenue"/>
      <sheetName val="Expense"/>
      <sheetName val="Headcount"/>
      <sheetName val="Balance_Sheet"/>
      <sheetName val="Cash_Flow_Stmt"/>
      <sheetName val="Other-&gt;"/>
      <sheetName val="REF"/>
    </sheetNames>
    <sheetDataSet>
      <sheetData sheetId="0"/>
      <sheetData sheetId="1"/>
      <sheetData sheetId="2">
        <row r="141">
          <cell r="AZ141" t="str">
            <v>Brand Marketing</v>
          </cell>
          <cell r="BA141" t="str">
            <v>Jan</v>
          </cell>
          <cell r="BB141" t="str">
            <v>Feb</v>
          </cell>
          <cell r="BC141" t="str">
            <v>Mar</v>
          </cell>
          <cell r="BD141" t="str">
            <v>Apr</v>
          </cell>
          <cell r="BE141" t="str">
            <v>May</v>
          </cell>
          <cell r="BF141" t="str">
            <v>Jun</v>
          </cell>
          <cell r="BG141" t="str">
            <v>Jul</v>
          </cell>
          <cell r="BH141" t="str">
            <v>Aug</v>
          </cell>
          <cell r="BI141" t="str">
            <v>Sep</v>
          </cell>
          <cell r="BJ141" t="str">
            <v>Oct</v>
          </cell>
          <cell r="BK141" t="str">
            <v>Nov</v>
          </cell>
          <cell r="BL141" t="str">
            <v>Dec</v>
          </cell>
        </row>
        <row r="142">
          <cell r="AZ142">
            <v>2020</v>
          </cell>
          <cell r="BG142">
            <v>85</v>
          </cell>
          <cell r="BH142">
            <v>73</v>
          </cell>
          <cell r="BI142">
            <v>45</v>
          </cell>
          <cell r="BJ142">
            <v>13</v>
          </cell>
          <cell r="BK142">
            <v>13</v>
          </cell>
          <cell r="BL142">
            <v>37</v>
          </cell>
        </row>
        <row r="143">
          <cell r="AZ143">
            <v>2021</v>
          </cell>
          <cell r="BA143">
            <v>45</v>
          </cell>
          <cell r="BB143">
            <v>21</v>
          </cell>
          <cell r="BC143">
            <v>21</v>
          </cell>
          <cell r="BD143">
            <v>45</v>
          </cell>
          <cell r="BE143">
            <v>85</v>
          </cell>
          <cell r="BF143">
            <v>125</v>
          </cell>
          <cell r="BG143">
            <v>85</v>
          </cell>
          <cell r="BH143">
            <v>73</v>
          </cell>
          <cell r="BI143">
            <v>45</v>
          </cell>
          <cell r="BJ143">
            <v>13</v>
          </cell>
          <cell r="BK143">
            <v>13</v>
          </cell>
          <cell r="BL143">
            <v>37</v>
          </cell>
        </row>
        <row r="144">
          <cell r="AZ144">
            <v>2022</v>
          </cell>
          <cell r="BA144">
            <v>45</v>
          </cell>
          <cell r="BB144">
            <v>21</v>
          </cell>
          <cell r="BC144">
            <v>21</v>
          </cell>
          <cell r="BD144">
            <v>45</v>
          </cell>
          <cell r="BE144">
            <v>85</v>
          </cell>
          <cell r="BF144">
            <v>125</v>
          </cell>
          <cell r="BG144">
            <v>85</v>
          </cell>
          <cell r="BH144">
            <v>73</v>
          </cell>
          <cell r="BI144">
            <v>45</v>
          </cell>
          <cell r="BJ144">
            <v>13</v>
          </cell>
          <cell r="BK144">
            <v>13</v>
          </cell>
          <cell r="BL144">
            <v>37</v>
          </cell>
        </row>
      </sheetData>
      <sheetData sheetId="3"/>
      <sheetData sheetId="4"/>
      <sheetData sheetId="5"/>
      <sheetData sheetId="6"/>
      <sheetData sheetId="7">
        <row r="3">
          <cell r="H3">
            <v>1</v>
          </cell>
          <cell r="I3" t="str">
            <v>Jan</v>
          </cell>
        </row>
        <row r="4">
          <cell r="H4">
            <v>2</v>
          </cell>
          <cell r="I4" t="str">
            <v>Feb</v>
          </cell>
        </row>
        <row r="5">
          <cell r="H5">
            <v>3</v>
          </cell>
          <cell r="I5" t="str">
            <v>Mar</v>
          </cell>
        </row>
        <row r="6">
          <cell r="H6">
            <v>4</v>
          </cell>
          <cell r="I6" t="str">
            <v>Apr</v>
          </cell>
        </row>
        <row r="7">
          <cell r="H7">
            <v>5</v>
          </cell>
          <cell r="I7" t="str">
            <v>May</v>
          </cell>
        </row>
        <row r="8">
          <cell r="H8">
            <v>6</v>
          </cell>
          <cell r="I8" t="str">
            <v>Jun</v>
          </cell>
        </row>
        <row r="9">
          <cell r="H9">
            <v>7</v>
          </cell>
          <cell r="I9" t="str">
            <v>Jul</v>
          </cell>
        </row>
        <row r="10">
          <cell r="H10">
            <v>8</v>
          </cell>
          <cell r="I10" t="str">
            <v>Aug</v>
          </cell>
        </row>
        <row r="11">
          <cell r="H11">
            <v>9</v>
          </cell>
          <cell r="I11" t="str">
            <v>Sep</v>
          </cell>
        </row>
        <row r="12">
          <cell r="H12">
            <v>10</v>
          </cell>
          <cell r="I12" t="str">
            <v>Oct</v>
          </cell>
        </row>
        <row r="13">
          <cell r="H13">
            <v>11</v>
          </cell>
          <cell r="I13" t="str">
            <v>Nov</v>
          </cell>
        </row>
        <row r="14">
          <cell r="H14">
            <v>12</v>
          </cell>
          <cell r="I14" t="str">
            <v>Dec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 Checks"/>
      <sheetName val="Control"/>
      <sheetName val="Long-Range-Plan"/>
      <sheetName val="Risks&amp;Opps"/>
      <sheetName val="REF"/>
    </sheetNames>
    <sheetDataSet>
      <sheetData sheetId="0"/>
      <sheetData sheetId="1"/>
      <sheetData sheetId="2">
        <row r="10">
          <cell r="F10" t="str">
            <v>Downside</v>
          </cell>
          <cell r="H10" t="str">
            <v>Base</v>
          </cell>
          <cell r="I10" t="str">
            <v>Downside</v>
          </cell>
          <cell r="J10" t="str">
            <v>Optimistic</v>
          </cell>
          <cell r="K10" t="str">
            <v>Worst</v>
          </cell>
          <cell r="L10" t="str">
            <v>Custom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ad Eatinger" id="{9B1789AA-8D6D-CA48-8A48-1A8167278D8F}" userId="Chad Eatinger" providerId="None"/>
  <person displayName="Jahanvi Patel" id="{AFF41D37-E779-CC45-A657-7A6C33C93E8B}" userId="bdff751efd5009a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6" dT="2025-11-27T17:11:11.03" personId="{AFF41D37-E779-CC45-A657-7A6C33C93E8B}" id="{3E09E808-9EB1-864A-8214-F6B0F3E00AF4}">
    <text xml:space="preserve">Per Lease Agreement from Accounting. Rent expenses will increase from Jan’2022
</text>
  </threadedComment>
  <threadedComment ref="C47" dT="2021-02-21T02:30:55.37" personId="{9B1789AA-8D6D-CA48-8A48-1A8167278D8F}" id="{59E0E342-103F-D640-B774-C6EC8E819AAD}">
    <text>add link to BS and build depreciation schedule here</text>
  </threadedComment>
  <threadedComment ref="E47" dT="2021-07-01T21:42:18.60" personId="{9B1789AA-8D6D-CA48-8A48-1A8167278D8F}" id="{8DB13008-E148-9341-A02C-E9242D8C4B6A}">
    <text>currently hard-coded, update w/ formula when we get to the balance sheet portion</text>
  </threadedComment>
  <threadedComment ref="E53" dT="2021-07-01T21:42:18.60" personId="{9B1789AA-8D6D-CA48-8A48-1A8167278D8F}" id="{E654C1A9-25A0-DA4D-BDA4-E1D9003A6228}">
    <text>currently hard-coded, update w/ formula when we get to the balance sheet portion</text>
  </threadedComment>
  <threadedComment ref="E65" dT="2021-07-01T21:42:18.60" personId="{9B1789AA-8D6D-CA48-8A48-1A8167278D8F}" id="{BDDFC6C0-9DA1-3944-BAD0-53AEE0D852C4}">
    <text>currently hard-coded, update w/ formula when we get to the Revenue section</text>
  </threadedComment>
  <threadedComment ref="E72" dT="2021-07-01T21:42:18.60" personId="{9B1789AA-8D6D-CA48-8A48-1A8167278D8F}" id="{62C2FCAD-D6B5-0C4B-88E5-137167318948}">
    <text>currently hard-coded, update w/ formula when we get to the Revenue section</text>
  </threadedComment>
  <threadedComment ref="E77" dT="2021-07-01T21:42:18.60" personId="{9B1789AA-8D6D-CA48-8A48-1A8167278D8F}" id="{C2C46713-71A1-1F44-9589-4CFC5FA30B48}">
    <text>currently hard-coded, update w/ formula when we get to the Revenue section</text>
  </threadedComment>
  <threadedComment ref="E103" dT="2021-07-01T21:51:01.89" personId="{9B1789AA-8D6D-CA48-8A48-1A8167278D8F}" id="{ECFE618D-BD45-3749-95ED-D8C5A78F767D}">
    <text>hard-coded for now, update w/ references once headcount is updated</text>
  </threadedComment>
  <threadedComment ref="E130" dT="2021-07-01T21:51:01.89" personId="{9B1789AA-8D6D-CA48-8A48-1A8167278D8F}" id="{50FA88C7-8D5C-5743-A9BB-C2446B773231}">
    <text>hard-coded for now, update w/ references once headcount is updated</text>
  </threadedComment>
  <threadedComment ref="E135" dT="2021-07-01T21:51:01.89" personId="{9B1789AA-8D6D-CA48-8A48-1A8167278D8F}" id="{873C4F63-293D-BB4C-9A00-FFE7E88E5B60}">
    <text>hard-coded for now, update w/ references once headcount is updated</text>
  </threadedComment>
  <threadedComment ref="E136" dT="2021-07-01T21:51:01.89" personId="{9B1789AA-8D6D-CA48-8A48-1A8167278D8F}" id="{90C6A508-1B8F-EF46-8CB6-181288EC86CA}">
    <text>hard-coded for now, update w/ references once headcount is updated</text>
  </threadedComment>
  <threadedComment ref="E142" dT="2021-07-01T21:57:51.57" personId="{9B1789AA-8D6D-CA48-8A48-1A8167278D8F}" id="{F5002605-78FE-8846-8C12-6F814FD6DB2A}">
    <text>hard-coded from revenue, update when revenue section is completed</text>
  </threadedComment>
  <threadedComment ref="Q148" dT="2021-07-07T15:12:08.08" personId="{9B1789AA-8D6D-CA48-8A48-1A8167278D8F}" id="{5B79054C-3F38-E94B-BB1F-7272488E0957}">
    <text>per discussion with head of search marketing, monthly agency fee increases to 18M starting Jul-21</text>
  </threadedComment>
  <threadedComment ref="E152" dT="2021-07-01T21:57:51.57" personId="{9B1789AA-8D6D-CA48-8A48-1A8167278D8F}" id="{0534E193-86D9-B04B-AB21-6CCE1BA173F5}">
    <text>hard-coded from revenue, update when revenue section is completed</text>
  </threadedComment>
  <threadedComment ref="E157" dT="2021-07-01T21:57:51.57" personId="{9B1789AA-8D6D-CA48-8A48-1A8167278D8F}" id="{8CB3F969-3449-914C-8884-AC57AA1A69AB}">
    <text>hard-coded from revenue, update when revenue section is completed</text>
  </threadedComment>
  <threadedComment ref="E165" dT="2021-07-01T22:03:00.14" personId="{9B1789AA-8D6D-CA48-8A48-1A8167278D8F}" id="{C763A4EC-3BF1-304B-B047-74ED94B397E9}">
    <text>hard-coded from BS, update once BS is completed</text>
  </threadedComment>
  <threadedComment ref="E170" dT="2021-07-01T22:03:00.14" personId="{9B1789AA-8D6D-CA48-8A48-1A8167278D8F}" id="{96666C0E-AD9F-E94D-B4B1-EED6E170BBEA}">
    <text>hard-coded from BS, update once BS is completed</text>
  </threadedComment>
  <threadedComment ref="E178" dT="2021-07-08T15:47:53.13" personId="{9B1789AA-8D6D-CA48-8A48-1A8167278D8F}" id="{2E13573F-1FCF-B648-BEF4-81B8A9D34EF3}">
    <text>hard-coded from summary_income_statement, replace with link when we pull the summary statement together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74E6-7A4B-7C47-B553-D3C549BBA63C}">
  <sheetPr>
    <tabColor theme="3"/>
  </sheetPr>
  <dimension ref="A1:BL186"/>
  <sheetViews>
    <sheetView showGridLines="0" tabSelected="1" topLeftCell="AD73" zoomScale="125" zoomScaleNormal="91" workbookViewId="0">
      <selection activeCell="BF143" sqref="BF143"/>
    </sheetView>
  </sheetViews>
  <sheetFormatPr baseColWidth="10" defaultColWidth="8.83203125" defaultRowHeight="15" outlineLevelRow="1" outlineLevelCol="1" x14ac:dyDescent="0.2"/>
  <cols>
    <col min="1" max="2" width="2.5" customWidth="1"/>
    <col min="3" max="3" width="40.5" bestFit="1" customWidth="1"/>
    <col min="4" max="4" width="2.5" customWidth="1" outlineLevel="1"/>
    <col min="5" max="10" width="10.1640625" customWidth="1" outlineLevel="1"/>
    <col min="11" max="16" width="10.1640625" customWidth="1"/>
    <col min="17" max="17" width="15.6640625" bestFit="1" customWidth="1"/>
    <col min="18" max="28" width="10.1640625" bestFit="1" customWidth="1"/>
    <col min="29" max="34" width="10.1640625" customWidth="1" outlineLevel="1"/>
    <col min="35" max="35" width="2.5" customWidth="1"/>
    <col min="36" max="45" width="9" hidden="1" customWidth="1" outlineLevel="1"/>
    <col min="46" max="46" width="2.6640625" customWidth="1" collapsed="1"/>
    <col min="47" max="47" width="9" hidden="1" customWidth="1" outlineLevel="1"/>
    <col min="48" max="49" width="10" hidden="1" customWidth="1" outlineLevel="1"/>
    <col min="50" max="50" width="2.6640625" customWidth="1" collapsed="1"/>
  </cols>
  <sheetData>
    <row r="1" spans="1:49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49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49" hidden="1" outlineLevel="1" x14ac:dyDescent="0.2">
      <c r="C3" t="s">
        <v>1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s="2" t="s">
        <v>2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J3" t="str">
        <f ca="1">OFFSET($D3,0,3*COLUMNS($AJ$3:AJ$3))</f>
        <v>Actual</v>
      </c>
      <c r="AK3" t="str">
        <f ca="1">OFFSET($D3,0,3*COLUMNS($AJ$3:AK$3))</f>
        <v>Actual</v>
      </c>
      <c r="AL3" t="str">
        <f ca="1">OFFSET($D3,0,3*COLUMNS($AJ$3:AL$3))</f>
        <v>Actual</v>
      </c>
      <c r="AM3" s="2" t="str">
        <f ca="1">OFFSET($D3,0,3*COLUMNS($AJ$3:AM$3))</f>
        <v>Actual</v>
      </c>
      <c r="AN3" t="str">
        <f ca="1">OFFSET($D3,0,3*COLUMNS($AJ$3:AN$3))</f>
        <v>Forecast</v>
      </c>
      <c r="AO3" t="str">
        <f ca="1">OFFSET($D3,0,3*COLUMNS($AJ$3:AO$3))</f>
        <v>Forecast</v>
      </c>
      <c r="AP3" t="str">
        <f ca="1">OFFSET($D3,0,3*COLUMNS($AJ$3:AP$3))</f>
        <v>Forecast</v>
      </c>
      <c r="AQ3" t="str">
        <f ca="1">OFFSET($D3,0,3*COLUMNS($AJ$3:AQ$3))</f>
        <v>Forecast</v>
      </c>
      <c r="AR3" t="str">
        <f ca="1">OFFSET($D3,0,3*COLUMNS($AJ$3:AR$3))</f>
        <v>Forecast</v>
      </c>
      <c r="AS3" t="str">
        <f ca="1">OFFSET($D3,0,3*COLUMNS($AJ$3:AS$3))</f>
        <v>Forecast</v>
      </c>
      <c r="AT3" s="3"/>
    </row>
    <row r="4" spans="1:49" hidden="1" outlineLevel="1" x14ac:dyDescent="0.2">
      <c r="C4" t="s">
        <v>3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s="2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J4" t="str">
        <f ca="1">OFFSET($D4,0,3*COLUMNS($AJ$3:AJ$3))</f>
        <v>Jun_Fcst</v>
      </c>
      <c r="AK4" t="str">
        <f ca="1">OFFSET($D4,0,3*COLUMNS($AJ$3:AK$3))</f>
        <v>Jun_Fcst</v>
      </c>
      <c r="AL4" t="str">
        <f ca="1">OFFSET($D4,0,3*COLUMNS($AJ$3:AL$3))</f>
        <v>Jun_Fcst</v>
      </c>
      <c r="AM4" s="2" t="str">
        <f ca="1">OFFSET($D4,0,3*COLUMNS($AJ$3:AM$3))</f>
        <v>Jun_Fcst</v>
      </c>
      <c r="AN4" t="str">
        <f ca="1">OFFSET($D4,0,3*COLUMNS($AJ$3:AN$3))</f>
        <v>Jun_Fcst</v>
      </c>
      <c r="AO4" t="str">
        <f ca="1">OFFSET($D4,0,3*COLUMNS($AJ$3:AO$3))</f>
        <v>Jun_Fcst</v>
      </c>
      <c r="AP4" t="str">
        <f ca="1">OFFSET($D4,0,3*COLUMNS($AJ$3:AP$3))</f>
        <v>Jun_Fcst</v>
      </c>
      <c r="AQ4" t="str">
        <f ca="1">OFFSET($D4,0,3*COLUMNS($AJ$3:AQ$3))</f>
        <v>Jun_Fcst</v>
      </c>
      <c r="AR4" t="str">
        <f ca="1">OFFSET($D4,0,3*COLUMNS($AJ$3:AR$3))</f>
        <v>Jun_Fcst</v>
      </c>
      <c r="AS4" t="str">
        <f ca="1">OFFSET($D4,0,3*COLUMNS($AJ$3:AS$3))</f>
        <v>Jun_Fcst</v>
      </c>
    </row>
    <row r="5" spans="1:49" hidden="1" outlineLevel="1" x14ac:dyDescent="0.2">
      <c r="C5" t="s">
        <v>5</v>
      </c>
      <c r="E5" s="4">
        <f t="shared" ref="E5:AH5" si="0">YEAR(E8)</f>
        <v>2020</v>
      </c>
      <c r="F5" s="4">
        <f t="shared" si="0"/>
        <v>2020</v>
      </c>
      <c r="G5" s="4">
        <f t="shared" si="0"/>
        <v>2020</v>
      </c>
      <c r="H5" s="4">
        <f t="shared" si="0"/>
        <v>2020</v>
      </c>
      <c r="I5" s="4">
        <f t="shared" si="0"/>
        <v>2020</v>
      </c>
      <c r="J5" s="4">
        <f t="shared" si="0"/>
        <v>2020</v>
      </c>
      <c r="K5" s="4">
        <f t="shared" si="0"/>
        <v>2021</v>
      </c>
      <c r="L5" s="4">
        <f t="shared" si="0"/>
        <v>2021</v>
      </c>
      <c r="M5" s="4">
        <f t="shared" si="0"/>
        <v>2021</v>
      </c>
      <c r="N5" s="4">
        <f t="shared" si="0"/>
        <v>2021</v>
      </c>
      <c r="O5" s="4">
        <f t="shared" si="0"/>
        <v>2021</v>
      </c>
      <c r="P5" s="5">
        <f t="shared" si="0"/>
        <v>2021</v>
      </c>
      <c r="Q5" s="4">
        <f t="shared" si="0"/>
        <v>2021</v>
      </c>
      <c r="R5" s="4">
        <f t="shared" si="0"/>
        <v>2021</v>
      </c>
      <c r="S5" s="4">
        <f t="shared" si="0"/>
        <v>2021</v>
      </c>
      <c r="T5" s="4">
        <f t="shared" si="0"/>
        <v>2021</v>
      </c>
      <c r="U5" s="4">
        <f t="shared" si="0"/>
        <v>2021</v>
      </c>
      <c r="V5" s="4">
        <f t="shared" si="0"/>
        <v>2021</v>
      </c>
      <c r="W5" s="4">
        <f t="shared" si="0"/>
        <v>2022</v>
      </c>
      <c r="X5" s="4">
        <f t="shared" si="0"/>
        <v>2022</v>
      </c>
      <c r="Y5" s="4">
        <f t="shared" si="0"/>
        <v>2022</v>
      </c>
      <c r="Z5" s="4">
        <f t="shared" si="0"/>
        <v>2022</v>
      </c>
      <c r="AA5" s="4">
        <f t="shared" si="0"/>
        <v>2022</v>
      </c>
      <c r="AB5" s="4">
        <f t="shared" si="0"/>
        <v>2022</v>
      </c>
      <c r="AC5" s="4">
        <f t="shared" si="0"/>
        <v>2022</v>
      </c>
      <c r="AD5" s="4">
        <f t="shared" si="0"/>
        <v>2022</v>
      </c>
      <c r="AE5" s="4">
        <f t="shared" si="0"/>
        <v>2022</v>
      </c>
      <c r="AF5" s="4">
        <f t="shared" si="0"/>
        <v>2022</v>
      </c>
      <c r="AG5" s="4">
        <f t="shared" si="0"/>
        <v>2022</v>
      </c>
      <c r="AH5" s="4">
        <f t="shared" si="0"/>
        <v>2022</v>
      </c>
      <c r="AJ5" s="4">
        <f ca="1">OFFSET($D5,0,3*COLUMNS($AJ$3:AJ$3))</f>
        <v>2020</v>
      </c>
      <c r="AK5" s="4">
        <f ca="1">OFFSET($D5,0,3*COLUMNS($AJ$3:AK$3))</f>
        <v>2020</v>
      </c>
      <c r="AL5" s="4">
        <f ca="1">OFFSET($D5,0,3*COLUMNS($AJ$3:AL$3))</f>
        <v>2021</v>
      </c>
      <c r="AM5" s="5">
        <f ca="1">OFFSET($D5,0,3*COLUMNS($AJ$3:AM$3))</f>
        <v>2021</v>
      </c>
      <c r="AN5" s="4">
        <f ca="1">OFFSET($D5,0,3*COLUMNS($AJ$3:AN$3))</f>
        <v>2021</v>
      </c>
      <c r="AO5" s="4">
        <f ca="1">OFFSET($D5,0,3*COLUMNS($AJ$3:AO$3))</f>
        <v>2021</v>
      </c>
      <c r="AP5" s="4">
        <f ca="1">OFFSET($D5,0,3*COLUMNS($AJ$3:AP$3))</f>
        <v>2022</v>
      </c>
      <c r="AQ5" s="4">
        <f ca="1">OFFSET($D5,0,3*COLUMNS($AJ$3:AQ$3))</f>
        <v>2022</v>
      </c>
      <c r="AR5" s="6">
        <v>2022</v>
      </c>
      <c r="AS5" s="6">
        <v>2022</v>
      </c>
      <c r="AU5" s="4">
        <f ca="1">AJ5</f>
        <v>2020</v>
      </c>
      <c r="AV5">
        <f ca="1">AU5+1</f>
        <v>2021</v>
      </c>
      <c r="AW5">
        <f ca="1">AV5+1</f>
        <v>2022</v>
      </c>
    </row>
    <row r="6" spans="1:49" hidden="1" outlineLevel="1" x14ac:dyDescent="0.2">
      <c r="C6" t="s">
        <v>6</v>
      </c>
      <c r="E6" s="4" t="str">
        <f>"Q"&amp;ROUNDUP(E7/3,0)</f>
        <v>Q3</v>
      </c>
      <c r="F6" s="4" t="str">
        <f t="shared" ref="F6:AH6" si="1">"Q"&amp;ROUNDUP(F7/3,0)</f>
        <v>Q3</v>
      </c>
      <c r="G6" s="4" t="str">
        <f t="shared" si="1"/>
        <v>Q3</v>
      </c>
      <c r="H6" s="4" t="str">
        <f t="shared" si="1"/>
        <v>Q4</v>
      </c>
      <c r="I6" s="4" t="str">
        <f t="shared" si="1"/>
        <v>Q4</v>
      </c>
      <c r="J6" s="4" t="str">
        <f t="shared" si="1"/>
        <v>Q4</v>
      </c>
      <c r="K6" s="4" t="str">
        <f t="shared" si="1"/>
        <v>Q1</v>
      </c>
      <c r="L6" s="4" t="str">
        <f t="shared" si="1"/>
        <v>Q1</v>
      </c>
      <c r="M6" s="4" t="str">
        <f t="shared" si="1"/>
        <v>Q1</v>
      </c>
      <c r="N6" s="4" t="str">
        <f t="shared" si="1"/>
        <v>Q2</v>
      </c>
      <c r="O6" s="4" t="str">
        <f t="shared" si="1"/>
        <v>Q2</v>
      </c>
      <c r="P6" s="5" t="str">
        <f t="shared" si="1"/>
        <v>Q2</v>
      </c>
      <c r="Q6" s="4" t="str">
        <f t="shared" si="1"/>
        <v>Q3</v>
      </c>
      <c r="R6" s="4" t="str">
        <f t="shared" si="1"/>
        <v>Q3</v>
      </c>
      <c r="S6" s="4" t="str">
        <f t="shared" si="1"/>
        <v>Q3</v>
      </c>
      <c r="T6" s="4" t="str">
        <f t="shared" si="1"/>
        <v>Q4</v>
      </c>
      <c r="U6" s="4" t="str">
        <f t="shared" si="1"/>
        <v>Q4</v>
      </c>
      <c r="V6" s="4" t="str">
        <f t="shared" si="1"/>
        <v>Q4</v>
      </c>
      <c r="W6" s="4" t="str">
        <f t="shared" si="1"/>
        <v>Q1</v>
      </c>
      <c r="X6" s="4" t="str">
        <f t="shared" si="1"/>
        <v>Q1</v>
      </c>
      <c r="Y6" s="4" t="str">
        <f t="shared" si="1"/>
        <v>Q1</v>
      </c>
      <c r="Z6" s="4" t="str">
        <f t="shared" si="1"/>
        <v>Q2</v>
      </c>
      <c r="AA6" s="4" t="str">
        <f t="shared" si="1"/>
        <v>Q2</v>
      </c>
      <c r="AB6" s="4" t="str">
        <f t="shared" si="1"/>
        <v>Q2</v>
      </c>
      <c r="AC6" s="4" t="str">
        <f t="shared" si="1"/>
        <v>Q3</v>
      </c>
      <c r="AD6" s="4" t="str">
        <f t="shared" si="1"/>
        <v>Q3</v>
      </c>
      <c r="AE6" s="4" t="str">
        <f t="shared" si="1"/>
        <v>Q3</v>
      </c>
      <c r="AF6" s="4" t="str">
        <f t="shared" si="1"/>
        <v>Q4</v>
      </c>
      <c r="AG6" s="4" t="str">
        <f t="shared" si="1"/>
        <v>Q4</v>
      </c>
      <c r="AH6" s="4" t="str">
        <f t="shared" si="1"/>
        <v>Q4</v>
      </c>
      <c r="AJ6" s="4" t="str">
        <f ca="1">OFFSET($D6,0,3*COLUMNS($AJ$3:AJ$3))</f>
        <v>Q3</v>
      </c>
      <c r="AK6" s="4" t="str">
        <f ca="1">OFFSET($D6,0,3*COLUMNS($AJ$3:AK$3))</f>
        <v>Q4</v>
      </c>
      <c r="AL6" s="4" t="str">
        <f ca="1">OFFSET($D6,0,3*COLUMNS($AJ$3:AL$3))</f>
        <v>Q1</v>
      </c>
      <c r="AM6" s="5" t="str">
        <f ca="1">OFFSET($D6,0,3*COLUMNS($AJ$3:AM$3))</f>
        <v>Q2</v>
      </c>
      <c r="AN6" s="4" t="str">
        <f ca="1">OFFSET($D6,0,3*COLUMNS($AJ$3:AN$3))</f>
        <v>Q3</v>
      </c>
      <c r="AO6" s="4" t="str">
        <f ca="1">OFFSET($D6,0,3*COLUMNS($AJ$3:AO$3))</f>
        <v>Q4</v>
      </c>
      <c r="AP6" s="4" t="str">
        <f ca="1">OFFSET($D6,0,3*COLUMNS($AJ$3:AP$3))</f>
        <v>Q1</v>
      </c>
      <c r="AQ6" s="4" t="str">
        <f ca="1">OFFSET($D6,0,3*COLUMNS($AJ$3:AQ$3))</f>
        <v>Q2</v>
      </c>
      <c r="AR6" s="6" t="s">
        <v>7</v>
      </c>
      <c r="AS6" s="6" t="s">
        <v>8</v>
      </c>
    </row>
    <row r="7" spans="1:49" hidden="1" outlineLevel="1" x14ac:dyDescent="0.2">
      <c r="C7" t="s">
        <v>9</v>
      </c>
      <c r="E7" s="4">
        <f t="shared" ref="E7:AH7" si="2">MONTH(E8)</f>
        <v>7</v>
      </c>
      <c r="F7" s="4">
        <f t="shared" si="2"/>
        <v>8</v>
      </c>
      <c r="G7" s="4">
        <f t="shared" si="2"/>
        <v>9</v>
      </c>
      <c r="H7" s="4">
        <f t="shared" si="2"/>
        <v>10</v>
      </c>
      <c r="I7" s="4">
        <f t="shared" si="2"/>
        <v>11</v>
      </c>
      <c r="J7" s="4">
        <f t="shared" si="2"/>
        <v>12</v>
      </c>
      <c r="K7" s="4">
        <f t="shared" si="2"/>
        <v>1</v>
      </c>
      <c r="L7" s="4">
        <f t="shared" si="2"/>
        <v>2</v>
      </c>
      <c r="M7" s="4">
        <f t="shared" si="2"/>
        <v>3</v>
      </c>
      <c r="N7" s="4">
        <f t="shared" si="2"/>
        <v>4</v>
      </c>
      <c r="O7" s="4">
        <f t="shared" si="2"/>
        <v>5</v>
      </c>
      <c r="P7" s="5">
        <f t="shared" si="2"/>
        <v>6</v>
      </c>
      <c r="Q7" s="4">
        <f t="shared" si="2"/>
        <v>7</v>
      </c>
      <c r="R7" s="4">
        <f t="shared" si="2"/>
        <v>8</v>
      </c>
      <c r="S7" s="4">
        <f t="shared" si="2"/>
        <v>9</v>
      </c>
      <c r="T7" s="4">
        <f t="shared" si="2"/>
        <v>10</v>
      </c>
      <c r="U7" s="4">
        <f t="shared" si="2"/>
        <v>11</v>
      </c>
      <c r="V7" s="4">
        <f t="shared" si="2"/>
        <v>12</v>
      </c>
      <c r="W7" s="4">
        <f t="shared" si="2"/>
        <v>1</v>
      </c>
      <c r="X7" s="4">
        <f t="shared" si="2"/>
        <v>2</v>
      </c>
      <c r="Y7" s="4">
        <f t="shared" si="2"/>
        <v>3</v>
      </c>
      <c r="Z7" s="4">
        <f t="shared" si="2"/>
        <v>4</v>
      </c>
      <c r="AA7" s="4">
        <f t="shared" si="2"/>
        <v>5</v>
      </c>
      <c r="AB7" s="4">
        <f t="shared" si="2"/>
        <v>6</v>
      </c>
      <c r="AC7" s="4">
        <f t="shared" si="2"/>
        <v>7</v>
      </c>
      <c r="AD7" s="4">
        <f t="shared" si="2"/>
        <v>8</v>
      </c>
      <c r="AE7" s="4">
        <f t="shared" si="2"/>
        <v>9</v>
      </c>
      <c r="AF7" s="4">
        <f t="shared" si="2"/>
        <v>10</v>
      </c>
      <c r="AG7" s="4">
        <f t="shared" si="2"/>
        <v>11</v>
      </c>
      <c r="AH7" s="4">
        <f t="shared" si="2"/>
        <v>12</v>
      </c>
      <c r="AJ7" s="4"/>
      <c r="AM7" s="2"/>
    </row>
    <row r="8" spans="1:49" hidden="1" outlineLevel="1" x14ac:dyDescent="0.2">
      <c r="C8" t="s">
        <v>10</v>
      </c>
      <c r="E8" s="7">
        <v>44043</v>
      </c>
      <c r="F8" s="8">
        <f>EOMONTH(E8,1)</f>
        <v>44074</v>
      </c>
      <c r="G8" s="8">
        <f t="shared" ref="G8:AH8" si="3">EOMONTH(F8,1)</f>
        <v>44104</v>
      </c>
      <c r="H8" s="8">
        <f t="shared" si="3"/>
        <v>44135</v>
      </c>
      <c r="I8" s="8">
        <f t="shared" si="3"/>
        <v>44165</v>
      </c>
      <c r="J8" s="8">
        <f t="shared" si="3"/>
        <v>44196</v>
      </c>
      <c r="K8" s="8">
        <f t="shared" si="3"/>
        <v>44227</v>
      </c>
      <c r="L8" s="8">
        <f t="shared" si="3"/>
        <v>44255</v>
      </c>
      <c r="M8" s="8">
        <f t="shared" si="3"/>
        <v>44286</v>
      </c>
      <c r="N8" s="8">
        <f t="shared" si="3"/>
        <v>44316</v>
      </c>
      <c r="O8" s="8">
        <f t="shared" si="3"/>
        <v>44347</v>
      </c>
      <c r="P8" s="9">
        <f t="shared" si="3"/>
        <v>44377</v>
      </c>
      <c r="Q8" s="8">
        <f t="shared" si="3"/>
        <v>44408</v>
      </c>
      <c r="R8" s="8">
        <f t="shared" si="3"/>
        <v>44439</v>
      </c>
      <c r="S8" s="8">
        <f t="shared" si="3"/>
        <v>44469</v>
      </c>
      <c r="T8" s="8">
        <f t="shared" si="3"/>
        <v>44500</v>
      </c>
      <c r="U8" s="8">
        <f t="shared" si="3"/>
        <v>44530</v>
      </c>
      <c r="V8" s="8">
        <f t="shared" si="3"/>
        <v>44561</v>
      </c>
      <c r="W8" s="8">
        <f t="shared" si="3"/>
        <v>44592</v>
      </c>
      <c r="X8" s="8">
        <f t="shared" si="3"/>
        <v>44620</v>
      </c>
      <c r="Y8" s="8">
        <f t="shared" si="3"/>
        <v>44651</v>
      </c>
      <c r="Z8" s="8">
        <f t="shared" si="3"/>
        <v>44681</v>
      </c>
      <c r="AA8" s="8">
        <f t="shared" si="3"/>
        <v>44712</v>
      </c>
      <c r="AB8" s="8">
        <f t="shared" si="3"/>
        <v>44742</v>
      </c>
      <c r="AC8" s="8">
        <f t="shared" si="3"/>
        <v>44773</v>
      </c>
      <c r="AD8" s="8">
        <f t="shared" si="3"/>
        <v>44804</v>
      </c>
      <c r="AE8" s="8">
        <f t="shared" si="3"/>
        <v>44834</v>
      </c>
      <c r="AF8" s="8">
        <f t="shared" si="3"/>
        <v>44865</v>
      </c>
      <c r="AG8" s="8">
        <f t="shared" si="3"/>
        <v>44895</v>
      </c>
      <c r="AH8" s="8">
        <f t="shared" si="3"/>
        <v>44926</v>
      </c>
      <c r="AM8" s="2"/>
    </row>
    <row r="9" spans="1:49" hidden="1" outlineLevel="1" x14ac:dyDescent="0.2">
      <c r="C9" t="s">
        <v>11</v>
      </c>
      <c r="E9" s="4" t="str">
        <f>TEXT(E8,"mmm-yy"&amp;LEFT(E3,1))</f>
        <v>Jul-20A</v>
      </c>
      <c r="F9" s="4" t="str">
        <f t="shared" ref="F9:AH9" si="4">TEXT(F8,"mmm-yy")&amp;LEFT(F3,1)</f>
        <v>Aug-20A</v>
      </c>
      <c r="G9" s="4" t="str">
        <f t="shared" si="4"/>
        <v>Sep-20A</v>
      </c>
      <c r="H9" s="4" t="str">
        <f t="shared" si="4"/>
        <v>Oct-20A</v>
      </c>
      <c r="I9" s="4" t="str">
        <f t="shared" si="4"/>
        <v>Nov-20A</v>
      </c>
      <c r="J9" s="4" t="str">
        <f t="shared" si="4"/>
        <v>Dec-20A</v>
      </c>
      <c r="K9" s="4" t="str">
        <f t="shared" si="4"/>
        <v>Jan-21A</v>
      </c>
      <c r="L9" s="4" t="str">
        <f t="shared" si="4"/>
        <v>Feb-21A</v>
      </c>
      <c r="M9" s="4" t="str">
        <f t="shared" si="4"/>
        <v>Mar-21A</v>
      </c>
      <c r="N9" s="4" t="str">
        <f t="shared" si="4"/>
        <v>Apr-21A</v>
      </c>
      <c r="O9" s="4" t="str">
        <f t="shared" si="4"/>
        <v>May-21A</v>
      </c>
      <c r="P9" s="5" t="str">
        <f t="shared" si="4"/>
        <v>Jun-21A</v>
      </c>
      <c r="Q9" s="4" t="str">
        <f t="shared" si="4"/>
        <v>Jul-21F</v>
      </c>
      <c r="R9" s="4" t="str">
        <f t="shared" si="4"/>
        <v>Aug-21F</v>
      </c>
      <c r="S9" s="4" t="str">
        <f t="shared" si="4"/>
        <v>Sep-21F</v>
      </c>
      <c r="T9" s="4" t="str">
        <f t="shared" si="4"/>
        <v>Oct-21F</v>
      </c>
      <c r="U9" s="4" t="str">
        <f t="shared" si="4"/>
        <v>Nov-21F</v>
      </c>
      <c r="V9" s="4" t="str">
        <f t="shared" si="4"/>
        <v>Dec-21F</v>
      </c>
      <c r="W9" s="4" t="str">
        <f t="shared" si="4"/>
        <v>Jan-22F</v>
      </c>
      <c r="X9" s="4" t="str">
        <f t="shared" si="4"/>
        <v>Feb-22F</v>
      </c>
      <c r="Y9" s="4" t="str">
        <f t="shared" si="4"/>
        <v>Mar-22F</v>
      </c>
      <c r="Z9" s="4" t="str">
        <f t="shared" si="4"/>
        <v>Apr-22F</v>
      </c>
      <c r="AA9" s="4" t="str">
        <f t="shared" si="4"/>
        <v>May-22F</v>
      </c>
      <c r="AB9" s="4" t="str">
        <f t="shared" si="4"/>
        <v>Jun-22F</v>
      </c>
      <c r="AC9" s="4" t="str">
        <f t="shared" si="4"/>
        <v>Jul-22F</v>
      </c>
      <c r="AD9" s="4" t="str">
        <f t="shared" si="4"/>
        <v>Aug-22F</v>
      </c>
      <c r="AE9" s="4" t="str">
        <f t="shared" si="4"/>
        <v>Sep-22F</v>
      </c>
      <c r="AF9" s="4" t="str">
        <f t="shared" si="4"/>
        <v>Oct-22F</v>
      </c>
      <c r="AG9" s="4" t="str">
        <f t="shared" si="4"/>
        <v>Nov-22F</v>
      </c>
      <c r="AH9" s="4" t="str">
        <f t="shared" si="4"/>
        <v>Dec-22F</v>
      </c>
      <c r="AM9" s="2"/>
      <c r="AU9" s="6" t="str">
        <f ca="1">COUNTIF($E$5:$AH$5,AU$5)&amp;"m"</f>
        <v>6m</v>
      </c>
      <c r="AV9" s="6" t="str">
        <f t="shared" ref="AV9:AW9" ca="1" si="5">COUNTIF($E$5:$AH$5,AV$5)&amp;"m"</f>
        <v>12m</v>
      </c>
      <c r="AW9" s="6" t="str">
        <f t="shared" ca="1" si="5"/>
        <v>12m</v>
      </c>
    </row>
    <row r="10" spans="1:49" collapsed="1" x14ac:dyDescent="0.2">
      <c r="E10" s="10" t="str">
        <f t="shared" ref="E10:AH10" si="6">E$9</f>
        <v>Jul-20A</v>
      </c>
      <c r="F10" s="10" t="str">
        <f t="shared" si="6"/>
        <v>Aug-20A</v>
      </c>
      <c r="G10" s="10" t="str">
        <f t="shared" si="6"/>
        <v>Sep-20A</v>
      </c>
      <c r="H10" s="10" t="str">
        <f t="shared" si="6"/>
        <v>Oct-20A</v>
      </c>
      <c r="I10" s="10" t="str">
        <f t="shared" si="6"/>
        <v>Nov-20A</v>
      </c>
      <c r="J10" s="10" t="str">
        <f t="shared" si="6"/>
        <v>Dec-20A</v>
      </c>
      <c r="K10" s="10" t="str">
        <f t="shared" si="6"/>
        <v>Jan-21A</v>
      </c>
      <c r="L10" s="10" t="str">
        <f t="shared" si="6"/>
        <v>Feb-21A</v>
      </c>
      <c r="M10" s="10" t="str">
        <f t="shared" si="6"/>
        <v>Mar-21A</v>
      </c>
      <c r="N10" s="10" t="str">
        <f t="shared" si="6"/>
        <v>Apr-21A</v>
      </c>
      <c r="O10" s="10" t="str">
        <f t="shared" si="6"/>
        <v>May-21A</v>
      </c>
      <c r="P10" s="11" t="str">
        <f t="shared" si="6"/>
        <v>Jun-21A</v>
      </c>
      <c r="Q10" s="10" t="str">
        <f t="shared" si="6"/>
        <v>Jul-21F</v>
      </c>
      <c r="R10" s="10" t="str">
        <f t="shared" si="6"/>
        <v>Aug-21F</v>
      </c>
      <c r="S10" s="10" t="str">
        <f t="shared" si="6"/>
        <v>Sep-21F</v>
      </c>
      <c r="T10" s="10" t="str">
        <f t="shared" si="6"/>
        <v>Oct-21F</v>
      </c>
      <c r="U10" s="10" t="str">
        <f t="shared" si="6"/>
        <v>Nov-21F</v>
      </c>
      <c r="V10" s="10" t="str">
        <f t="shared" si="6"/>
        <v>Dec-21F</v>
      </c>
      <c r="W10" s="10" t="str">
        <f t="shared" si="6"/>
        <v>Jan-22F</v>
      </c>
      <c r="X10" s="10" t="str">
        <f t="shared" si="6"/>
        <v>Feb-22F</v>
      </c>
      <c r="Y10" s="10" t="str">
        <f t="shared" si="6"/>
        <v>Mar-22F</v>
      </c>
      <c r="Z10" s="10" t="str">
        <f t="shared" si="6"/>
        <v>Apr-22F</v>
      </c>
      <c r="AA10" s="10" t="str">
        <f t="shared" si="6"/>
        <v>May-22F</v>
      </c>
      <c r="AB10" s="10" t="str">
        <f t="shared" si="6"/>
        <v>Jun-22F</v>
      </c>
      <c r="AC10" s="10" t="str">
        <f t="shared" si="6"/>
        <v>Jul-22F</v>
      </c>
      <c r="AD10" s="10" t="str">
        <f t="shared" si="6"/>
        <v>Aug-22F</v>
      </c>
      <c r="AE10" s="10" t="str">
        <f t="shared" si="6"/>
        <v>Sep-22F</v>
      </c>
      <c r="AF10" s="10" t="str">
        <f t="shared" si="6"/>
        <v>Oct-22F</v>
      </c>
      <c r="AG10" s="10" t="str">
        <f t="shared" si="6"/>
        <v>Nov-22F</v>
      </c>
      <c r="AH10" s="10" t="str">
        <f t="shared" si="6"/>
        <v>Dec-22F</v>
      </c>
      <c r="AJ10" s="10" t="str">
        <f ca="1">AJ6&amp;"'"&amp;RIGHT(AJ5,2)&amp;LEFT(AJ3,1)</f>
        <v>Q3'20A</v>
      </c>
      <c r="AK10" s="10" t="str">
        <f t="shared" ref="AK10:AS10" ca="1" si="7">AK6&amp;"'"&amp;RIGHT(AK5,2)&amp;LEFT(AK3,1)</f>
        <v>Q4'20A</v>
      </c>
      <c r="AL10" s="10" t="str">
        <f t="shared" ca="1" si="7"/>
        <v>Q1'21A</v>
      </c>
      <c r="AM10" s="11" t="str">
        <f t="shared" ca="1" si="7"/>
        <v>Q2'21A</v>
      </c>
      <c r="AN10" s="10" t="str">
        <f t="shared" ca="1" si="7"/>
        <v>Q3'21F</v>
      </c>
      <c r="AO10" s="10" t="str">
        <f t="shared" ca="1" si="7"/>
        <v>Q4'21F</v>
      </c>
      <c r="AP10" s="10" t="str">
        <f t="shared" ca="1" si="7"/>
        <v>Q1'22F</v>
      </c>
      <c r="AQ10" s="10" t="str">
        <f t="shared" ca="1" si="7"/>
        <v>Q2'22F</v>
      </c>
      <c r="AR10" s="10" t="str">
        <f t="shared" ca="1" si="7"/>
        <v>Q3'22F</v>
      </c>
      <c r="AS10" s="10" t="str">
        <f t="shared" ca="1" si="7"/>
        <v>Q4'22F</v>
      </c>
      <c r="AU10" s="12" t="str">
        <f ca="1">"FY"&amp;RIGHT(AU5,2)</f>
        <v>FY20</v>
      </c>
      <c r="AV10" s="12" t="str">
        <f t="shared" ref="AV10:AW10" ca="1" si="8">"FY"&amp;RIGHT(AV5,2)</f>
        <v>FY21</v>
      </c>
      <c r="AW10" s="12" t="str">
        <f t="shared" ca="1" si="8"/>
        <v>FY22</v>
      </c>
    </row>
    <row r="11" spans="1:49" x14ac:dyDescent="0.2"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49" ht="19" x14ac:dyDescent="0.25">
      <c r="A12" t="s">
        <v>12</v>
      </c>
      <c r="B12" t="s">
        <v>12</v>
      </c>
      <c r="C12" s="13" t="s">
        <v>13</v>
      </c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x14ac:dyDescent="0.2">
      <c r="C13" s="16"/>
      <c r="D13" s="16"/>
    </row>
    <row r="14" spans="1:49" x14ac:dyDescent="0.2">
      <c r="C14" s="17" t="s">
        <v>14</v>
      </c>
      <c r="D14" s="17"/>
      <c r="E14" s="18" t="str">
        <f t="shared" ref="E14:AH14" si="9">E$9</f>
        <v>Jul-20A</v>
      </c>
      <c r="F14" s="18" t="str">
        <f t="shared" si="9"/>
        <v>Aug-20A</v>
      </c>
      <c r="G14" s="18" t="str">
        <f t="shared" si="9"/>
        <v>Sep-20A</v>
      </c>
      <c r="H14" s="18" t="str">
        <f t="shared" si="9"/>
        <v>Oct-20A</v>
      </c>
      <c r="I14" s="18" t="str">
        <f t="shared" si="9"/>
        <v>Nov-20A</v>
      </c>
      <c r="J14" s="18" t="str">
        <f t="shared" si="9"/>
        <v>Dec-20A</v>
      </c>
      <c r="K14" s="18" t="str">
        <f t="shared" si="9"/>
        <v>Jan-21A</v>
      </c>
      <c r="L14" s="18" t="str">
        <f t="shared" si="9"/>
        <v>Feb-21A</v>
      </c>
      <c r="M14" s="18" t="str">
        <f t="shared" si="9"/>
        <v>Mar-21A</v>
      </c>
      <c r="N14" s="18" t="str">
        <f t="shared" si="9"/>
        <v>Apr-21A</v>
      </c>
      <c r="O14" s="18" t="str">
        <f t="shared" si="9"/>
        <v>May-21A</v>
      </c>
      <c r="P14" s="19" t="str">
        <f t="shared" si="9"/>
        <v>Jun-21A</v>
      </c>
      <c r="Q14" s="18" t="str">
        <f t="shared" si="9"/>
        <v>Jul-21F</v>
      </c>
      <c r="R14" s="18" t="str">
        <f t="shared" si="9"/>
        <v>Aug-21F</v>
      </c>
      <c r="S14" s="18" t="str">
        <f t="shared" si="9"/>
        <v>Sep-21F</v>
      </c>
      <c r="T14" s="18" t="str">
        <f t="shared" si="9"/>
        <v>Oct-21F</v>
      </c>
      <c r="U14" s="18" t="str">
        <f t="shared" si="9"/>
        <v>Nov-21F</v>
      </c>
      <c r="V14" s="18" t="str">
        <f t="shared" si="9"/>
        <v>Dec-21F</v>
      </c>
      <c r="W14" s="18" t="str">
        <f t="shared" si="9"/>
        <v>Jan-22F</v>
      </c>
      <c r="X14" s="18" t="str">
        <f t="shared" si="9"/>
        <v>Feb-22F</v>
      </c>
      <c r="Y14" s="18" t="str">
        <f t="shared" si="9"/>
        <v>Mar-22F</v>
      </c>
      <c r="Z14" s="18" t="str">
        <f t="shared" si="9"/>
        <v>Apr-22F</v>
      </c>
      <c r="AA14" s="18" t="str">
        <f t="shared" si="9"/>
        <v>May-22F</v>
      </c>
      <c r="AB14" s="18" t="str">
        <f t="shared" si="9"/>
        <v>Jun-22F</v>
      </c>
      <c r="AC14" s="18" t="str">
        <f t="shared" si="9"/>
        <v>Jul-22F</v>
      </c>
      <c r="AD14" s="18" t="str">
        <f t="shared" si="9"/>
        <v>Aug-22F</v>
      </c>
      <c r="AE14" s="18" t="str">
        <f t="shared" si="9"/>
        <v>Sep-22F</v>
      </c>
      <c r="AF14" s="18" t="str">
        <f t="shared" si="9"/>
        <v>Oct-22F</v>
      </c>
      <c r="AG14" s="18" t="str">
        <f t="shared" si="9"/>
        <v>Nov-22F</v>
      </c>
      <c r="AH14" s="18" t="str">
        <f t="shared" si="9"/>
        <v>Dec-22F</v>
      </c>
      <c r="AJ14" s="18" t="str">
        <f ca="1">AJ$10</f>
        <v>Q3'20A</v>
      </c>
      <c r="AK14" s="18" t="str">
        <f t="shared" ref="AK14:AW14" ca="1" si="10">AK$10</f>
        <v>Q4'20A</v>
      </c>
      <c r="AL14" s="18" t="str">
        <f t="shared" ca="1" si="10"/>
        <v>Q1'21A</v>
      </c>
      <c r="AM14" s="18" t="str">
        <f t="shared" ca="1" si="10"/>
        <v>Q2'21A</v>
      </c>
      <c r="AN14" s="18" t="str">
        <f t="shared" ca="1" si="10"/>
        <v>Q3'21F</v>
      </c>
      <c r="AO14" s="18" t="str">
        <f t="shared" ca="1" si="10"/>
        <v>Q4'21F</v>
      </c>
      <c r="AP14" s="18" t="str">
        <f t="shared" ca="1" si="10"/>
        <v>Q1'22F</v>
      </c>
      <c r="AQ14" s="18" t="str">
        <f t="shared" ca="1" si="10"/>
        <v>Q2'22F</v>
      </c>
      <c r="AR14" s="18" t="str">
        <f t="shared" ca="1" si="10"/>
        <v>Q3'22F</v>
      </c>
      <c r="AS14" s="18" t="str">
        <f t="shared" ca="1" si="10"/>
        <v>Q4'22F</v>
      </c>
      <c r="AU14" s="18" t="str">
        <f t="shared" ca="1" si="10"/>
        <v>FY20</v>
      </c>
      <c r="AV14" s="18" t="str">
        <f t="shared" ca="1" si="10"/>
        <v>FY21</v>
      </c>
      <c r="AW14" s="18" t="str">
        <f t="shared" ca="1" si="10"/>
        <v>FY22</v>
      </c>
    </row>
    <row r="15" spans="1:49" x14ac:dyDescent="0.2">
      <c r="C15" s="20" t="s">
        <v>15</v>
      </c>
      <c r="D15" s="16"/>
      <c r="E15" s="21">
        <f>E69</f>
        <v>36.864684319788694</v>
      </c>
      <c r="F15" s="21">
        <f t="shared" ref="F15:AH15" si="11">F69</f>
        <v>35.300584398778966</v>
      </c>
      <c r="G15" s="21">
        <f t="shared" si="11"/>
        <v>33.374602027068249</v>
      </c>
      <c r="H15" s="21">
        <f t="shared" si="11"/>
        <v>34.471956929929419</v>
      </c>
      <c r="I15" s="21">
        <f t="shared" si="11"/>
        <v>33.089816135733372</v>
      </c>
      <c r="J15" s="21">
        <f t="shared" si="11"/>
        <v>34.997733171572534</v>
      </c>
      <c r="K15" s="21">
        <f t="shared" si="11"/>
        <v>36.582968329413802</v>
      </c>
      <c r="L15" s="21">
        <f t="shared" si="11"/>
        <v>35.035343513956931</v>
      </c>
      <c r="M15" s="21">
        <f t="shared" si="11"/>
        <v>33.407789855974222</v>
      </c>
      <c r="N15" s="21">
        <f t="shared" si="11"/>
        <v>36.422941349570195</v>
      </c>
      <c r="O15" s="21">
        <f t="shared" si="11"/>
        <v>35.844866026294582</v>
      </c>
      <c r="P15" s="21">
        <f t="shared" si="11"/>
        <v>36.933391794384342</v>
      </c>
      <c r="Q15" s="21">
        <f t="shared" si="11"/>
        <v>37.639835884594092</v>
      </c>
      <c r="R15" s="21">
        <f t="shared" si="11"/>
        <v>36.007335262434857</v>
      </c>
      <c r="S15" s="21">
        <f t="shared" si="11"/>
        <v>33.993152451965138</v>
      </c>
      <c r="T15" s="21">
        <f t="shared" si="11"/>
        <v>35.14366868182136</v>
      </c>
      <c r="U15" s="21">
        <f t="shared" si="11"/>
        <v>33.698110393369603</v>
      </c>
      <c r="V15" s="21">
        <f t="shared" si="11"/>
        <v>35.692394066998943</v>
      </c>
      <c r="W15" s="21">
        <f t="shared" si="11"/>
        <v>37.350071841778728</v>
      </c>
      <c r="X15" s="21">
        <f t="shared" si="11"/>
        <v>35.730041588012753</v>
      </c>
      <c r="Y15" s="21">
        <f t="shared" si="11"/>
        <v>34.026803928939991</v>
      </c>
      <c r="Z15" s="21">
        <f t="shared" si="11"/>
        <v>37.183215787504196</v>
      </c>
      <c r="AA15" s="21">
        <f t="shared" si="11"/>
        <v>36.575371548622805</v>
      </c>
      <c r="AB15" s="21">
        <f t="shared" si="11"/>
        <v>37.716150611069082</v>
      </c>
      <c r="AC15" s="21">
        <f t="shared" si="11"/>
        <v>38.453470267947473</v>
      </c>
      <c r="AD15" s="21">
        <f t="shared" si="11"/>
        <v>36.749357675099446</v>
      </c>
      <c r="AE15" s="21">
        <f t="shared" si="11"/>
        <v>34.642648581235697</v>
      </c>
      <c r="AF15" s="21">
        <f t="shared" si="11"/>
        <v>35.849032635663995</v>
      </c>
      <c r="AG15" s="21">
        <f t="shared" si="11"/>
        <v>34.336917574610709</v>
      </c>
      <c r="AH15" s="21">
        <f t="shared" si="11"/>
        <v>36.421817861158651</v>
      </c>
      <c r="AJ15" s="22" cm="1">
        <f t="array" aca="1" ref="AJ15" ca="1">SUMPRODUCT(($E15:$AH15)*(AJ$3&amp;AJ$4&amp;AJ$5&amp;AJ$6=$E$3:$AH$3&amp;$E$4:$AH$4&amp;$E$5:$AH$5&amp;$E$6:$AH$6))</f>
        <v>105.53987074563591</v>
      </c>
      <c r="AK15" s="22" cm="1">
        <f t="array" aca="1" ref="AK15" ca="1">SUMPRODUCT(($E15:$AH15)*(AK$3=$E$3:$AH$3)*(AK$4=$E$4:$AH$4)*(AK$5=$E$5:$AH$5)*(AK$6=$E$6:$AH$6))</f>
        <v>102.55950623723533</v>
      </c>
      <c r="AL15" s="22" cm="1">
        <f t="array" aca="1" ref="AL15" ca="1">SUMPRODUCT(($E15:$AH15)*(AL$3=$E$3:$AH$3)*(AL$4=$E$4:$AH$4)*(AL$5=$E$5:$AH$5)*(AL$6=$E$6:$AH$6))</f>
        <v>105.02610169934496</v>
      </c>
      <c r="AM15" s="23" cm="1">
        <f t="array" aca="1" ref="AM15" ca="1">SUMPRODUCT(($E15:$AH15)*(AM$3=$E$3:$AH$3)*(AM$4=$E$4:$AH$4)*(AM$5=$E$5:$AH$5)*(AM$6=$E$6:$AH$6))</f>
        <v>109.20119917024911</v>
      </c>
      <c r="AN15" s="22" cm="1">
        <f t="array" aca="1" ref="AN15" ca="1">SUMPRODUCT(($E15:$AH15)*(AN$3=$E$3:$AH$3)*(AN$4=$E$4:$AH$4)*(AN$5=$E$5:$AH$5)*(AN$6=$E$6:$AH$6))</f>
        <v>107.64032359899409</v>
      </c>
      <c r="AO15" s="22" cm="1">
        <f t="array" aca="1" ref="AO15" ca="1">SUMPRODUCT(($E15:$AH15)*(AO$3=$E$3:$AH$3)*(AO$4=$E$4:$AH$4)*(AO$5=$E$5:$AH$5)*(AO$6=$E$6:$AH$6))</f>
        <v>104.53417314218991</v>
      </c>
      <c r="AP15" s="22" cm="1">
        <f t="array" aca="1" ref="AP15" ca="1">SUMPRODUCT(($E15:$AH15)*(AP$3=$E$3:$AH$3)*(AP$4=$E$4:$AH$4)*(AP$5=$E$5:$AH$5)*(AP$6=$E$6:$AH$6))</f>
        <v>107.10691735873147</v>
      </c>
      <c r="AQ15" s="22" cm="1">
        <f t="array" aca="1" ref="AQ15" ca="1">SUMPRODUCT(($E15:$AH15)*(AQ$3=$E$3:$AH$3)*(AQ$4=$E$4:$AH$4)*(AQ$5=$E$5:$AH$5)*(AQ$6=$E$6:$AH$6))</f>
        <v>111.47473794719608</v>
      </c>
      <c r="AR15" s="22" cm="1">
        <f t="array" aca="1" ref="AR15" ca="1">SUMPRODUCT(($E15:$AH15)*(AR$3=$E$3:$AH$3)*(AR$4=$E$4:$AH$4)*(AR$5=$E$5:$AH$5)*(AR$6=$E$6:$AH$6))</f>
        <v>109.84547652428262</v>
      </c>
      <c r="AS15" s="22" cm="1">
        <f t="array" aca="1" ref="AS15" ca="1">SUMPRODUCT(($E15:$AH15)*(AS$3=$E$3:$AH$3)*(AS$4=$E$4:$AH$4)*(AS$5=$E$5:$AH$5)*(AS$6=$E$6:$AH$6))</f>
        <v>106.60776807143336</v>
      </c>
      <c r="AU15" s="22" cm="1">
        <f t="array" aca="1" ref="AU15" ca="1">SUMPRODUCT(($E15:$AH15)*(AU$5=$E$5:$AH$5))</f>
        <v>208.09937698287121</v>
      </c>
      <c r="AV15" s="22" cm="1">
        <f t="array" aca="1" ref="AV15" ca="1">SUMPRODUCT(($E15:$AH15)*(AV$5=$E$5:$AH$5))</f>
        <v>426.40179761077803</v>
      </c>
      <c r="AW15" s="22" cm="1">
        <f t="array" aca="1" ref="AW15" ca="1">SUMPRODUCT(($E15:$AH15)*(AW$5=$E$5:$AH$5))</f>
        <v>435.03489990164348</v>
      </c>
    </row>
    <row r="16" spans="1:49" x14ac:dyDescent="0.2">
      <c r="C16" s="20" t="s">
        <v>16</v>
      </c>
      <c r="D16" s="16"/>
      <c r="E16" s="24">
        <f>E74</f>
        <v>112.10817974373758</v>
      </c>
      <c r="F16" s="24">
        <f t="shared" ref="F16:AH16" si="12">F74</f>
        <v>96.806144750645828</v>
      </c>
      <c r="G16" s="24">
        <f t="shared" si="12"/>
        <v>86.545198276417366</v>
      </c>
      <c r="H16" s="24">
        <f t="shared" si="12"/>
        <v>85.919738867598255</v>
      </c>
      <c r="I16" s="24">
        <f t="shared" si="12"/>
        <v>84.40309783177814</v>
      </c>
      <c r="J16" s="24">
        <f t="shared" si="12"/>
        <v>114.43753359279434</v>
      </c>
      <c r="K16" s="24">
        <f t="shared" si="12"/>
        <v>111.27364621053833</v>
      </c>
      <c r="L16" s="24">
        <f t="shared" si="12"/>
        <v>97.330080381360276</v>
      </c>
      <c r="M16" s="24">
        <f t="shared" si="12"/>
        <v>92.137171600214685</v>
      </c>
      <c r="N16" s="24">
        <f t="shared" si="12"/>
        <v>133.05077814982195</v>
      </c>
      <c r="O16" s="24">
        <f t="shared" si="12"/>
        <v>120.83047085720591</v>
      </c>
      <c r="P16" s="24">
        <f t="shared" si="12"/>
        <v>129.41578089381017</v>
      </c>
      <c r="Q16" s="24">
        <f t="shared" si="12"/>
        <v>117.2610085372108</v>
      </c>
      <c r="R16" s="24">
        <f t="shared" si="12"/>
        <v>101.27772731419654</v>
      </c>
      <c r="S16" s="24">
        <f t="shared" si="12"/>
        <v>90.547752450240338</v>
      </c>
      <c r="T16" s="24">
        <f t="shared" si="12"/>
        <v>89.907679033277958</v>
      </c>
      <c r="U16" s="24">
        <f t="shared" si="12"/>
        <v>88.325377503654039</v>
      </c>
      <c r="V16" s="24">
        <f t="shared" si="12"/>
        <v>119.73801991606352</v>
      </c>
      <c r="W16" s="24">
        <f t="shared" si="12"/>
        <v>116.42099999824069</v>
      </c>
      <c r="X16" s="24">
        <f t="shared" si="12"/>
        <v>101.82715218592953</v>
      </c>
      <c r="Y16" s="24">
        <f t="shared" si="12"/>
        <v>96.390982741085281</v>
      </c>
      <c r="Z16" s="24">
        <f t="shared" si="12"/>
        <v>139.21015626738338</v>
      </c>
      <c r="AA16" s="24">
        <f t="shared" si="12"/>
        <v>126.40119175066306</v>
      </c>
      <c r="AB16" s="24">
        <f t="shared" si="12"/>
        <v>135.39812304609919</v>
      </c>
      <c r="AC16" s="24">
        <f t="shared" si="12"/>
        <v>122.66965230219583</v>
      </c>
      <c r="AD16" s="24">
        <f t="shared" si="12"/>
        <v>105.9724714636007</v>
      </c>
      <c r="AE16" s="24">
        <f t="shared" si="12"/>
        <v>94.750551993263997</v>
      </c>
      <c r="AF16" s="24">
        <f t="shared" si="12"/>
        <v>94.095411695433668</v>
      </c>
      <c r="AG16" s="24">
        <f t="shared" si="12"/>
        <v>92.444404421591329</v>
      </c>
      <c r="AH16" s="24">
        <f t="shared" si="12"/>
        <v>125.30375835083939</v>
      </c>
      <c r="AJ16" s="22" cm="1">
        <f t="array" aca="1" ref="AJ16" ca="1">SUMPRODUCT(($E16:$AH16)*(AJ$3&amp;AJ$4&amp;AJ$5&amp;AJ$6=$E$3:$AH$3&amp;$E$4:$AH$4&amp;$E$5:$AH$5&amp;$E$6:$AH$6))</f>
        <v>295.45952277080079</v>
      </c>
      <c r="AK16" s="22" cm="1">
        <f t="array" aca="1" ref="AK16" ca="1">SUMPRODUCT(($E16:$AH16)*(AK$3=$E$3:$AH$3)*(AK$4=$E$4:$AH$4)*(AK$5=$E$5:$AH$5)*(AK$6=$E$6:$AH$6))</f>
        <v>284.76037029217076</v>
      </c>
      <c r="AL16" s="22" cm="1">
        <f t="array" aca="1" ref="AL16" ca="1">SUMPRODUCT(($E16:$AH16)*(AL$3=$E$3:$AH$3)*(AL$4=$E$4:$AH$4)*(AL$5=$E$5:$AH$5)*(AL$6=$E$6:$AH$6))</f>
        <v>300.74089819211326</v>
      </c>
      <c r="AM16" s="23" cm="1">
        <f t="array" aca="1" ref="AM16" ca="1">SUMPRODUCT(($E16:$AH16)*(AM$3=$E$3:$AH$3)*(AM$4=$E$4:$AH$4)*(AM$5=$E$5:$AH$5)*(AM$6=$E$6:$AH$6))</f>
        <v>383.29702990083803</v>
      </c>
      <c r="AN16" s="22" cm="1">
        <f t="array" aca="1" ref="AN16" ca="1">SUMPRODUCT(($E16:$AH16)*(AN$3=$E$3:$AH$3)*(AN$4=$E$4:$AH$4)*(AN$5=$E$5:$AH$5)*(AN$6=$E$6:$AH$6))</f>
        <v>309.08648830164771</v>
      </c>
      <c r="AO16" s="22" cm="1">
        <f t="array" aca="1" ref="AO16" ca="1">SUMPRODUCT(($E16:$AH16)*(AO$3=$E$3:$AH$3)*(AO$4=$E$4:$AH$4)*(AO$5=$E$5:$AH$5)*(AO$6=$E$6:$AH$6))</f>
        <v>297.97107645299553</v>
      </c>
      <c r="AP16" s="22" cm="1">
        <f t="array" aca="1" ref="AP16" ca="1">SUMPRODUCT(($E16:$AH16)*(AP$3=$E$3:$AH$3)*(AP$4=$E$4:$AH$4)*(AP$5=$E$5:$AH$5)*(AP$6=$E$6:$AH$6))</f>
        <v>314.63913492525552</v>
      </c>
      <c r="AQ16" s="22" cm="1">
        <f t="array" aca="1" ref="AQ16" ca="1">SUMPRODUCT(($E16:$AH16)*(AQ$3=$E$3:$AH$3)*(AQ$4=$E$4:$AH$4)*(AQ$5=$E$5:$AH$5)*(AQ$6=$E$6:$AH$6))</f>
        <v>401.0094710641456</v>
      </c>
      <c r="AR16" s="22" cm="1">
        <f t="array" aca="1" ref="AR16" ca="1">SUMPRODUCT(($E16:$AH16)*(AR$3=$E$3:$AH$3)*(AR$4=$E$4:$AH$4)*(AR$5=$E$5:$AH$5)*(AR$6=$E$6:$AH$6))</f>
        <v>323.39267575906052</v>
      </c>
      <c r="AS16" s="22" cm="1">
        <f t="array" aca="1" ref="AS16" ca="1">SUMPRODUCT(($E16:$AH16)*(AS$3=$E$3:$AH$3)*(AS$4=$E$4:$AH$4)*(AS$5=$E$5:$AH$5)*(AS$6=$E$6:$AH$6))</f>
        <v>311.84357446786441</v>
      </c>
      <c r="AU16" s="22" cm="1">
        <f t="array" aca="1" ref="AU16" ca="1">SUMPRODUCT(($E16:$AH16)*(AU$5=$E$5:$AH$5))</f>
        <v>580.21989306297155</v>
      </c>
      <c r="AV16" s="22" cm="1">
        <f t="array" aca="1" ref="AV16" ca="1">SUMPRODUCT(($E16:$AH16)*(AV$5=$E$5:$AH$5))</f>
        <v>1291.0954928475944</v>
      </c>
      <c r="AW16" s="22" cm="1">
        <f t="array" aca="1" ref="AW16" ca="1">SUMPRODUCT(($E16:$AH16)*(AW$5=$E$5:$AH$5))</f>
        <v>1350.8848562163262</v>
      </c>
    </row>
    <row r="17" spans="1:49" x14ac:dyDescent="0.2">
      <c r="C17" s="25" t="s">
        <v>17</v>
      </c>
      <c r="D17" s="26"/>
      <c r="E17" s="27">
        <f>E79</f>
        <v>31.8</v>
      </c>
      <c r="F17" s="27">
        <f t="shared" ref="F17:AH17" si="13">F79</f>
        <v>28.504394752237022</v>
      </c>
      <c r="G17" s="27">
        <f t="shared" si="13"/>
        <v>25.116248445268788</v>
      </c>
      <c r="H17" s="27">
        <f t="shared" si="13"/>
        <v>25.127313461443482</v>
      </c>
      <c r="I17" s="27">
        <f t="shared" si="13"/>
        <v>27.87441501045754</v>
      </c>
      <c r="J17" s="27">
        <f t="shared" si="13"/>
        <v>27.321746169488151</v>
      </c>
      <c r="K17" s="27">
        <f t="shared" si="13"/>
        <v>42.781158299895225</v>
      </c>
      <c r="L17" s="27">
        <f t="shared" si="13"/>
        <v>34.409079436440827</v>
      </c>
      <c r="M17" s="27">
        <f t="shared" si="13"/>
        <v>32.823852316497906</v>
      </c>
      <c r="N17" s="27">
        <f t="shared" si="13"/>
        <v>34.43181523862463</v>
      </c>
      <c r="O17" s="27">
        <f t="shared" si="13"/>
        <v>48.839972000950802</v>
      </c>
      <c r="P17" s="27">
        <f t="shared" si="13"/>
        <v>47.054839189169698</v>
      </c>
      <c r="Q17" s="27">
        <f t="shared" si="13"/>
        <v>42.960495583344006</v>
      </c>
      <c r="R17" s="27">
        <f t="shared" si="13"/>
        <v>35.052672456611383</v>
      </c>
      <c r="S17" s="27">
        <f t="shared" si="13"/>
        <v>33.42938705950985</v>
      </c>
      <c r="T17" s="27">
        <f t="shared" si="13"/>
        <v>34.046762206382198</v>
      </c>
      <c r="U17" s="27">
        <f t="shared" si="13"/>
        <v>34.74436490745569</v>
      </c>
      <c r="V17" s="27">
        <f t="shared" si="13"/>
        <v>45.695120956141544</v>
      </c>
      <c r="W17" s="27">
        <f t="shared" si="13"/>
        <v>40.090529695837084</v>
      </c>
      <c r="X17" s="27">
        <f t="shared" si="13"/>
        <v>34.485617345047153</v>
      </c>
      <c r="Y17" s="27">
        <f t="shared" si="13"/>
        <v>34.033148472664195</v>
      </c>
      <c r="Z17" s="27">
        <f t="shared" si="13"/>
        <v>48.733810928898414</v>
      </c>
      <c r="AA17" s="27">
        <f t="shared" si="13"/>
        <v>45.732938212349083</v>
      </c>
      <c r="AB17" s="27">
        <f t="shared" si="13"/>
        <v>49.794171800998036</v>
      </c>
      <c r="AC17" s="27">
        <f t="shared" si="13"/>
        <v>44.942202592636676</v>
      </c>
      <c r="AD17" s="27">
        <f t="shared" si="13"/>
        <v>36.677899772764519</v>
      </c>
      <c r="AE17" s="27">
        <f t="shared" si="13"/>
        <v>34.980982131655104</v>
      </c>
      <c r="AF17" s="27">
        <f t="shared" si="13"/>
        <v>35.632592100963713</v>
      </c>
      <c r="AG17" s="27">
        <f t="shared" si="13"/>
        <v>36.364480394765053</v>
      </c>
      <c r="AH17" s="27">
        <f t="shared" si="13"/>
        <v>47.819374505371492</v>
      </c>
      <c r="AJ17" s="28" cm="1">
        <f t="array" aca="1" ref="AJ17" ca="1">SUMPRODUCT(($E17:$AH17)*(AJ$3&amp;AJ$4&amp;AJ$5&amp;AJ$6=$E$3:$AH$3&amp;$E$4:$AH$4&amp;$E$5:$AH$5&amp;$E$6:$AH$6))</f>
        <v>85.420643197505811</v>
      </c>
      <c r="AK17" s="28" cm="1">
        <f t="array" aca="1" ref="AK17" ca="1">SUMPRODUCT(($E17:$AH17)*(AK$3=$E$3:$AH$3)*(AK$4=$E$4:$AH$4)*(AK$5=$E$5:$AH$5)*(AK$6=$E$6:$AH$6))</f>
        <v>80.323474641389168</v>
      </c>
      <c r="AL17" s="28" cm="1">
        <f t="array" aca="1" ref="AL17" ca="1">SUMPRODUCT(($E17:$AH17)*(AL$3=$E$3:$AH$3)*(AL$4=$E$4:$AH$4)*(AL$5=$E$5:$AH$5)*(AL$6=$E$6:$AH$6))</f>
        <v>110.01409005283396</v>
      </c>
      <c r="AM17" s="29" cm="1">
        <f t="array" aca="1" ref="AM17" ca="1">SUMPRODUCT(($E17:$AH17)*(AM$3=$E$3:$AH$3)*(AM$4=$E$4:$AH$4)*(AM$5=$E$5:$AH$5)*(AM$6=$E$6:$AH$6))</f>
        <v>130.32662642874513</v>
      </c>
      <c r="AN17" s="28" cm="1">
        <f t="array" aca="1" ref="AN17" ca="1">SUMPRODUCT(($E17:$AH17)*(AN$3=$E$3:$AH$3)*(AN$4=$E$4:$AH$4)*(AN$5=$E$5:$AH$5)*(AN$6=$E$6:$AH$6))</f>
        <v>111.44255509946524</v>
      </c>
      <c r="AO17" s="28" cm="1">
        <f t="array" aca="1" ref="AO17" ca="1">SUMPRODUCT(($E17:$AH17)*(AO$3=$E$3:$AH$3)*(AO$4=$E$4:$AH$4)*(AO$5=$E$5:$AH$5)*(AO$6=$E$6:$AH$6))</f>
        <v>114.48624806997944</v>
      </c>
      <c r="AP17" s="28" cm="1">
        <f t="array" aca="1" ref="AP17" ca="1">SUMPRODUCT(($E17:$AH17)*(AP$3=$E$3:$AH$3)*(AP$4=$E$4:$AH$4)*(AP$5=$E$5:$AH$5)*(AP$6=$E$6:$AH$6))</f>
        <v>108.60929551354843</v>
      </c>
      <c r="AQ17" s="28" cm="1">
        <f t="array" aca="1" ref="AQ17" ca="1">SUMPRODUCT(($E17:$AH17)*(AQ$3=$E$3:$AH$3)*(AQ$4=$E$4:$AH$4)*(AQ$5=$E$5:$AH$5)*(AQ$6=$E$6:$AH$6))</f>
        <v>144.26092094224555</v>
      </c>
      <c r="AR17" s="28" cm="1">
        <f t="array" aca="1" ref="AR17" ca="1">SUMPRODUCT(($E17:$AH17)*(AR$3=$E$3:$AH$3)*(AR$4=$E$4:$AH$4)*(AR$5=$E$5:$AH$5)*(AR$6=$E$6:$AH$6))</f>
        <v>116.60108449705629</v>
      </c>
      <c r="AS17" s="28" cm="1">
        <f t="array" aca="1" ref="AS17" ca="1">SUMPRODUCT(($E17:$AH17)*(AS$3=$E$3:$AH$3)*(AS$4=$E$4:$AH$4)*(AS$5=$E$5:$AH$5)*(AS$6=$E$6:$AH$6))</f>
        <v>119.81644700110024</v>
      </c>
      <c r="AU17" s="28" cm="1">
        <f t="array" aca="1" ref="AU17" ca="1">SUMPRODUCT(($E17:$AH17)*(AU$5=$E$5:$AH$5))</f>
        <v>165.74411783889497</v>
      </c>
      <c r="AV17" s="28" cm="1">
        <f t="array" aca="1" ref="AV17" ca="1">SUMPRODUCT(($E17:$AH17)*(AV$5=$E$5:$AH$5))</f>
        <v>466.26951965102376</v>
      </c>
      <c r="AW17" s="28" cm="1">
        <f t="array" aca="1" ref="AW17" ca="1">SUMPRODUCT(($E17:$AH17)*(AW$5=$E$5:$AH$5))</f>
        <v>489.28774795395054</v>
      </c>
    </row>
    <row r="18" spans="1:49" x14ac:dyDescent="0.2">
      <c r="C18" s="16" t="s">
        <v>18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J18" s="30">
        <f t="shared" ref="AJ18:AW18" ca="1" si="14">SUBTOTAL(109,AJ15:AJ17)</f>
        <v>486.42003671394252</v>
      </c>
      <c r="AK18" s="30">
        <f t="shared" ca="1" si="14"/>
        <v>467.64335117079526</v>
      </c>
      <c r="AL18" s="30">
        <f t="shared" ca="1" si="14"/>
        <v>515.78108994429215</v>
      </c>
      <c r="AM18" s="31">
        <f t="shared" ca="1" si="14"/>
        <v>622.82485549983232</v>
      </c>
      <c r="AN18" s="30">
        <f t="shared" ca="1" si="14"/>
        <v>528.16936700010706</v>
      </c>
      <c r="AO18" s="30">
        <f t="shared" ca="1" si="14"/>
        <v>516.99149766516484</v>
      </c>
      <c r="AP18" s="30">
        <f t="shared" ca="1" si="14"/>
        <v>530.35534779753539</v>
      </c>
      <c r="AQ18" s="30">
        <f t="shared" ca="1" si="14"/>
        <v>656.74512995358725</v>
      </c>
      <c r="AR18" s="30">
        <f t="shared" ca="1" si="14"/>
        <v>549.83923678039946</v>
      </c>
      <c r="AS18" s="30">
        <f t="shared" ca="1" si="14"/>
        <v>538.2677895403981</v>
      </c>
      <c r="AU18" s="30">
        <f t="shared" ca="1" si="14"/>
        <v>954.06338788473772</v>
      </c>
      <c r="AV18" s="30">
        <f t="shared" ca="1" si="14"/>
        <v>2183.7668101093959</v>
      </c>
      <c r="AW18" s="30">
        <f t="shared" ca="1" si="14"/>
        <v>2275.2075040719201</v>
      </c>
    </row>
    <row r="19" spans="1:49" x14ac:dyDescent="0.2">
      <c r="C19" s="20" t="s">
        <v>19</v>
      </c>
      <c r="E19" s="21">
        <f>E40</f>
        <v>4.75</v>
      </c>
      <c r="F19" s="21">
        <f t="shared" ref="F19:AH19" si="15">F40</f>
        <v>4.75</v>
      </c>
      <c r="G19" s="21">
        <f t="shared" si="15"/>
        <v>4.75</v>
      </c>
      <c r="H19" s="21">
        <f t="shared" si="15"/>
        <v>4.75</v>
      </c>
      <c r="I19" s="21">
        <f t="shared" si="15"/>
        <v>4.75</v>
      </c>
      <c r="J19" s="21">
        <f t="shared" si="15"/>
        <v>4.75</v>
      </c>
      <c r="K19" s="21">
        <f t="shared" si="15"/>
        <v>4.75</v>
      </c>
      <c r="L19" s="21">
        <f t="shared" si="15"/>
        <v>4.75</v>
      </c>
      <c r="M19" s="21">
        <f t="shared" si="15"/>
        <v>4.75</v>
      </c>
      <c r="N19" s="21">
        <f t="shared" si="15"/>
        <v>4.75</v>
      </c>
      <c r="O19" s="21">
        <f t="shared" si="15"/>
        <v>4.75</v>
      </c>
      <c r="P19" s="21">
        <f t="shared" si="15"/>
        <v>4.75</v>
      </c>
      <c r="Q19" s="21">
        <f t="shared" si="15"/>
        <v>4.75</v>
      </c>
      <c r="R19" s="21">
        <f t="shared" si="15"/>
        <v>4.75</v>
      </c>
      <c r="S19" s="21">
        <f t="shared" si="15"/>
        <v>4.75</v>
      </c>
      <c r="T19" s="21">
        <f t="shared" si="15"/>
        <v>4.75</v>
      </c>
      <c r="U19" s="21">
        <f t="shared" si="15"/>
        <v>4.75</v>
      </c>
      <c r="V19" s="21">
        <f t="shared" si="15"/>
        <v>4.75</v>
      </c>
      <c r="W19" s="21">
        <f t="shared" si="15"/>
        <v>5.35</v>
      </c>
      <c r="X19" s="21">
        <f t="shared" si="15"/>
        <v>5.35</v>
      </c>
      <c r="Y19" s="21">
        <f t="shared" si="15"/>
        <v>5.35</v>
      </c>
      <c r="Z19" s="21">
        <f t="shared" si="15"/>
        <v>5.35</v>
      </c>
      <c r="AA19" s="21">
        <f t="shared" si="15"/>
        <v>5.35</v>
      </c>
      <c r="AB19" s="21">
        <f t="shared" si="15"/>
        <v>5.35</v>
      </c>
      <c r="AC19" s="21">
        <f t="shared" si="15"/>
        <v>5.35</v>
      </c>
      <c r="AD19" s="21">
        <f t="shared" si="15"/>
        <v>5.35</v>
      </c>
      <c r="AE19" s="21">
        <f t="shared" si="15"/>
        <v>5.35</v>
      </c>
      <c r="AF19" s="21">
        <f t="shared" si="15"/>
        <v>5.35</v>
      </c>
      <c r="AG19" s="21">
        <f t="shared" si="15"/>
        <v>5.35</v>
      </c>
      <c r="AH19" s="21">
        <f t="shared" si="15"/>
        <v>5.35</v>
      </c>
      <c r="AJ19" s="22" cm="1">
        <f t="array" aca="1" ref="AJ19" ca="1">SUMPRODUCT(($E19:$AH19)*(AJ$3&amp;AJ$4&amp;AJ$5&amp;AJ$6=$E$3:$AH$3&amp;$E$4:$AH$4&amp;$E$5:$AH$5&amp;$E$6:$AH$6))</f>
        <v>14.25</v>
      </c>
      <c r="AK19" s="22" cm="1">
        <f t="array" aca="1" ref="AK19" ca="1">SUMPRODUCT(($E19:$AH19)*(AK$3=$E$3:$AH$3)*(AK$4=$E$4:$AH$4)*(AK$5=$E$5:$AH$5)*(AK$6=$E$6:$AH$6))</f>
        <v>14.25</v>
      </c>
      <c r="AL19" s="22" cm="1">
        <f t="array" aca="1" ref="AL19" ca="1">SUMPRODUCT(($E19:$AH19)*(AL$3=$E$3:$AH$3)*(AL$4=$E$4:$AH$4)*(AL$5=$E$5:$AH$5)*(AL$6=$E$6:$AH$6))</f>
        <v>14.25</v>
      </c>
      <c r="AM19" s="23" cm="1">
        <f t="array" aca="1" ref="AM19" ca="1">SUMPRODUCT(($E19:$AH19)*(AM$3=$E$3:$AH$3)*(AM$4=$E$4:$AH$4)*(AM$5=$E$5:$AH$5)*(AM$6=$E$6:$AH$6))</f>
        <v>14.25</v>
      </c>
      <c r="AN19" s="22" cm="1">
        <f t="array" aca="1" ref="AN19" ca="1">SUMPRODUCT(($E19:$AH19)*(AN$3=$E$3:$AH$3)*(AN$4=$E$4:$AH$4)*(AN$5=$E$5:$AH$5)*(AN$6=$E$6:$AH$6))</f>
        <v>14.25</v>
      </c>
      <c r="AO19" s="22" cm="1">
        <f t="array" aca="1" ref="AO19" ca="1">SUMPRODUCT(($E19:$AH19)*(AO$3=$E$3:$AH$3)*(AO$4=$E$4:$AH$4)*(AO$5=$E$5:$AH$5)*(AO$6=$E$6:$AH$6))</f>
        <v>14.25</v>
      </c>
      <c r="AP19" s="22" cm="1">
        <f t="array" aca="1" ref="AP19" ca="1">SUMPRODUCT(($E19:$AH19)*(AP$3=$E$3:$AH$3)*(AP$4=$E$4:$AH$4)*(AP$5=$E$5:$AH$5)*(AP$6=$E$6:$AH$6))</f>
        <v>16.049999999999997</v>
      </c>
      <c r="AQ19" s="22" cm="1">
        <f t="array" aca="1" ref="AQ19" ca="1">SUMPRODUCT(($E19:$AH19)*(AQ$3=$E$3:$AH$3)*(AQ$4=$E$4:$AH$4)*(AQ$5=$E$5:$AH$5)*(AQ$6=$E$6:$AH$6))</f>
        <v>16.049999999999997</v>
      </c>
      <c r="AR19" s="22" cm="1">
        <f t="array" aca="1" ref="AR19" ca="1">SUMPRODUCT(($E19:$AH19)*(AR$3=$E$3:$AH$3)*(AR$4=$E$4:$AH$4)*(AR$5=$E$5:$AH$5)*(AR$6=$E$6:$AH$6))</f>
        <v>16.049999999999997</v>
      </c>
      <c r="AS19" s="22" cm="1">
        <f t="array" aca="1" ref="AS19" ca="1">SUMPRODUCT(($E19:$AH19)*(AS$3=$E$3:$AH$3)*(AS$4=$E$4:$AH$4)*(AS$5=$E$5:$AH$5)*(AS$6=$E$6:$AH$6))</f>
        <v>16.049999999999997</v>
      </c>
      <c r="AU19" s="22" cm="1">
        <f t="array" aca="1" ref="AU19" ca="1">SUMPRODUCT(($E19:$AH19)*(AU$5=$E$5:$AH$5))</f>
        <v>28.5</v>
      </c>
      <c r="AV19" s="22" cm="1">
        <f t="array" aca="1" ref="AV19" ca="1">SUMPRODUCT(($E19:$AH19)*(AV$5=$E$5:$AH$5))</f>
        <v>57</v>
      </c>
      <c r="AW19" s="22" cm="1">
        <f t="array" aca="1" ref="AW19" ca="1">SUMPRODUCT(($E19:$AH19)*(AW$5=$E$5:$AH$5))</f>
        <v>64.2</v>
      </c>
    </row>
    <row r="20" spans="1:49" x14ac:dyDescent="0.2">
      <c r="C20" s="20" t="s">
        <v>20</v>
      </c>
      <c r="E20" s="21">
        <f>E50</f>
        <v>24.922699933540848</v>
      </c>
      <c r="F20" s="21">
        <f t="shared" ref="F20:AH20" si="16">F50</f>
        <v>24.922699933540848</v>
      </c>
      <c r="G20" s="21">
        <f t="shared" si="16"/>
        <v>24.922699933540848</v>
      </c>
      <c r="H20" s="21">
        <f t="shared" si="16"/>
        <v>24.922699933540848</v>
      </c>
      <c r="I20" s="21">
        <f t="shared" si="16"/>
        <v>24.922699933540848</v>
      </c>
      <c r="J20" s="21">
        <f t="shared" si="16"/>
        <v>24.922699933540848</v>
      </c>
      <c r="K20" s="21">
        <f t="shared" si="16"/>
        <v>24.922699933540848</v>
      </c>
      <c r="L20" s="21">
        <f t="shared" si="16"/>
        <v>24.922699933540848</v>
      </c>
      <c r="M20" s="21">
        <f t="shared" si="16"/>
        <v>24.922699933540848</v>
      </c>
      <c r="N20" s="21">
        <f t="shared" si="16"/>
        <v>24.922699933540848</v>
      </c>
      <c r="O20" s="21">
        <f t="shared" si="16"/>
        <v>24.922699933540848</v>
      </c>
      <c r="P20" s="21">
        <f t="shared" si="16"/>
        <v>24.922699933540848</v>
      </c>
      <c r="Q20" s="21">
        <f t="shared" si="16"/>
        <v>24.922699933540848</v>
      </c>
      <c r="R20" s="21">
        <f t="shared" si="16"/>
        <v>24.922699933540848</v>
      </c>
      <c r="S20" s="21">
        <f t="shared" si="16"/>
        <v>24.922699933540848</v>
      </c>
      <c r="T20" s="21">
        <f t="shared" si="16"/>
        <v>24.922699933540848</v>
      </c>
      <c r="U20" s="21">
        <f t="shared" si="16"/>
        <v>24.922699933540848</v>
      </c>
      <c r="V20" s="21">
        <f t="shared" si="16"/>
        <v>24.922699933540848</v>
      </c>
      <c r="W20" s="21">
        <f t="shared" si="16"/>
        <v>24.922699933540848</v>
      </c>
      <c r="X20" s="21">
        <f t="shared" si="16"/>
        <v>24.922699933540848</v>
      </c>
      <c r="Y20" s="21">
        <f t="shared" si="16"/>
        <v>24.922699933540848</v>
      </c>
      <c r="Z20" s="21">
        <f t="shared" si="16"/>
        <v>24.922699933540848</v>
      </c>
      <c r="AA20" s="21">
        <f t="shared" si="16"/>
        <v>24.922699933540848</v>
      </c>
      <c r="AB20" s="21">
        <f t="shared" si="16"/>
        <v>24.922699933540848</v>
      </c>
      <c r="AC20" s="21">
        <f t="shared" si="16"/>
        <v>24.922699933540848</v>
      </c>
      <c r="AD20" s="21">
        <f t="shared" si="16"/>
        <v>24.922699933540848</v>
      </c>
      <c r="AE20" s="21">
        <f t="shared" si="16"/>
        <v>24.922699933540848</v>
      </c>
      <c r="AF20" s="21">
        <f t="shared" si="16"/>
        <v>24.922699933540848</v>
      </c>
      <c r="AG20" s="21">
        <f t="shared" si="16"/>
        <v>24.922699933540848</v>
      </c>
      <c r="AH20" s="21">
        <f t="shared" si="16"/>
        <v>24.922699933540848</v>
      </c>
      <c r="AJ20" s="22" cm="1">
        <f t="array" aca="1" ref="AJ20" ca="1">SUMPRODUCT(($E20:$AH20)*(AJ$3&amp;AJ$4&amp;AJ$5&amp;AJ$6=$E$3:$AH$3&amp;$E$4:$AH$4&amp;$E$5:$AH$5&amp;$E$6:$AH$6))</f>
        <v>74.768099800622537</v>
      </c>
      <c r="AK20" s="22" cm="1">
        <f t="array" aca="1" ref="AK20" ca="1">SUMPRODUCT(($E20:$AH20)*(AK$3=$E$3:$AH$3)*(AK$4=$E$4:$AH$4)*(AK$5=$E$5:$AH$5)*(AK$6=$E$6:$AH$6))</f>
        <v>74.768099800622537</v>
      </c>
      <c r="AL20" s="22" cm="1">
        <f t="array" aca="1" ref="AL20" ca="1">SUMPRODUCT(($E20:$AH20)*(AL$3=$E$3:$AH$3)*(AL$4=$E$4:$AH$4)*(AL$5=$E$5:$AH$5)*(AL$6=$E$6:$AH$6))</f>
        <v>74.768099800622537</v>
      </c>
      <c r="AM20" s="23" cm="1">
        <f t="array" aca="1" ref="AM20" ca="1">SUMPRODUCT(($E20:$AH20)*(AM$3=$E$3:$AH$3)*(AM$4=$E$4:$AH$4)*(AM$5=$E$5:$AH$5)*(AM$6=$E$6:$AH$6))</f>
        <v>74.768099800622537</v>
      </c>
      <c r="AN20" s="22" cm="1">
        <f t="array" aca="1" ref="AN20" ca="1">SUMPRODUCT(($E20:$AH20)*(AN$3=$E$3:$AH$3)*(AN$4=$E$4:$AH$4)*(AN$5=$E$5:$AH$5)*(AN$6=$E$6:$AH$6))</f>
        <v>74.768099800622537</v>
      </c>
      <c r="AO20" s="22" cm="1">
        <f t="array" aca="1" ref="AO20" ca="1">SUMPRODUCT(($E20:$AH20)*(AO$3=$E$3:$AH$3)*(AO$4=$E$4:$AH$4)*(AO$5=$E$5:$AH$5)*(AO$6=$E$6:$AH$6))</f>
        <v>74.768099800622537</v>
      </c>
      <c r="AP20" s="22" cm="1">
        <f t="array" aca="1" ref="AP20" ca="1">SUMPRODUCT(($E20:$AH20)*(AP$3=$E$3:$AH$3)*(AP$4=$E$4:$AH$4)*(AP$5=$E$5:$AH$5)*(AP$6=$E$6:$AH$6))</f>
        <v>74.768099800622537</v>
      </c>
      <c r="AQ20" s="22" cm="1">
        <f t="array" aca="1" ref="AQ20" ca="1">SUMPRODUCT(($E20:$AH20)*(AQ$3=$E$3:$AH$3)*(AQ$4=$E$4:$AH$4)*(AQ$5=$E$5:$AH$5)*(AQ$6=$E$6:$AH$6))</f>
        <v>74.768099800622537</v>
      </c>
      <c r="AR20" s="22" cm="1">
        <f t="array" aca="1" ref="AR20" ca="1">SUMPRODUCT(($E20:$AH20)*(AR$3=$E$3:$AH$3)*(AR$4=$E$4:$AH$4)*(AR$5=$E$5:$AH$5)*(AR$6=$E$6:$AH$6))</f>
        <v>74.768099800622537</v>
      </c>
      <c r="AS20" s="22" cm="1">
        <f t="array" aca="1" ref="AS20" ca="1">SUMPRODUCT(($E20:$AH20)*(AS$3=$E$3:$AH$3)*(AS$4=$E$4:$AH$4)*(AS$5=$E$5:$AH$5)*(AS$6=$E$6:$AH$6))</f>
        <v>74.768099800622537</v>
      </c>
      <c r="AU20" s="22" cm="1">
        <f t="array" aca="1" ref="AU20" ca="1">SUMPRODUCT(($E20:$AH20)*(AU$5=$E$5:$AH$5))</f>
        <v>149.5361996012451</v>
      </c>
      <c r="AV20" s="22" cm="1">
        <f t="array" aca="1" ref="AV20" ca="1">SUMPRODUCT(($E20:$AH20)*(AV$5=$E$5:$AH$5))</f>
        <v>299.0723992024902</v>
      </c>
      <c r="AW20" s="22" cm="1">
        <f t="array" aca="1" ref="AW20" ca="1">SUMPRODUCT(($E20:$AH20)*(AW$5=$E$5:$AH$5))</f>
        <v>299.0723992024902</v>
      </c>
    </row>
    <row r="21" spans="1:49" x14ac:dyDescent="0.2">
      <c r="C21" s="20" t="s">
        <v>21</v>
      </c>
      <c r="E21" s="21">
        <f>E56</f>
        <v>15.229528612992777</v>
      </c>
      <c r="F21" s="21">
        <f t="shared" ref="F21:AH21" si="17">F56</f>
        <v>15.229528612992777</v>
      </c>
      <c r="G21" s="21">
        <f t="shared" si="17"/>
        <v>15.229528612992777</v>
      </c>
      <c r="H21" s="21">
        <f t="shared" si="17"/>
        <v>15.229528612992777</v>
      </c>
      <c r="I21" s="21">
        <f t="shared" si="17"/>
        <v>15.229528612992777</v>
      </c>
      <c r="J21" s="21">
        <f t="shared" si="17"/>
        <v>15.229528612992777</v>
      </c>
      <c r="K21" s="21">
        <f t="shared" si="17"/>
        <v>15.229528612992777</v>
      </c>
      <c r="L21" s="21">
        <f t="shared" si="17"/>
        <v>15.229528612992777</v>
      </c>
      <c r="M21" s="21">
        <f t="shared" si="17"/>
        <v>15.229528612992777</v>
      </c>
      <c r="N21" s="21">
        <f t="shared" si="17"/>
        <v>15.229528612992777</v>
      </c>
      <c r="O21" s="21">
        <f t="shared" si="17"/>
        <v>15.229528612992777</v>
      </c>
      <c r="P21" s="21">
        <f t="shared" si="17"/>
        <v>15.229528612992777</v>
      </c>
      <c r="Q21" s="21">
        <f t="shared" si="17"/>
        <v>15.229528612992777</v>
      </c>
      <c r="R21" s="21">
        <f t="shared" si="17"/>
        <v>15.229528612992777</v>
      </c>
      <c r="S21" s="21">
        <f t="shared" si="17"/>
        <v>15.229528612992777</v>
      </c>
      <c r="T21" s="21">
        <f t="shared" si="17"/>
        <v>15.229528612992777</v>
      </c>
      <c r="U21" s="21">
        <f t="shared" si="17"/>
        <v>15.229528612992777</v>
      </c>
      <c r="V21" s="21">
        <f t="shared" si="17"/>
        <v>15.229528612992777</v>
      </c>
      <c r="W21" s="21">
        <f t="shared" si="17"/>
        <v>15.229528612992777</v>
      </c>
      <c r="X21" s="21">
        <f t="shared" si="17"/>
        <v>15.229528612992777</v>
      </c>
      <c r="Y21" s="21">
        <f t="shared" si="17"/>
        <v>15.229528612992777</v>
      </c>
      <c r="Z21" s="21">
        <f t="shared" si="17"/>
        <v>15.229528612992777</v>
      </c>
      <c r="AA21" s="21">
        <f t="shared" si="17"/>
        <v>15.229528612992777</v>
      </c>
      <c r="AB21" s="21">
        <f t="shared" si="17"/>
        <v>15.229528612992777</v>
      </c>
      <c r="AC21" s="21">
        <f t="shared" si="17"/>
        <v>15.229528612992777</v>
      </c>
      <c r="AD21" s="21">
        <f t="shared" si="17"/>
        <v>15.229528612992777</v>
      </c>
      <c r="AE21" s="21">
        <f t="shared" si="17"/>
        <v>15.229528612992777</v>
      </c>
      <c r="AF21" s="21">
        <f t="shared" si="17"/>
        <v>15.229528612992777</v>
      </c>
      <c r="AG21" s="21">
        <f t="shared" si="17"/>
        <v>15.229528612992777</v>
      </c>
      <c r="AH21" s="21">
        <f t="shared" si="17"/>
        <v>15.229528612992777</v>
      </c>
      <c r="AJ21" s="22" cm="1">
        <f t="array" aca="1" ref="AJ21" ca="1">SUMPRODUCT(($E21:$AH21)*(AJ$3&amp;AJ$4&amp;AJ$5&amp;AJ$6=$E$3:$AH$3&amp;$E$4:$AH$4&amp;$E$5:$AH$5&amp;$E$6:$AH$6))</f>
        <v>45.688585838978327</v>
      </c>
      <c r="AK21" s="22" cm="1">
        <f t="array" aca="1" ref="AK21" ca="1">SUMPRODUCT(($E21:$AH21)*(AK$3=$E$3:$AH$3)*(AK$4=$E$4:$AH$4)*(AK$5=$E$5:$AH$5)*(AK$6=$E$6:$AH$6))</f>
        <v>45.688585838978327</v>
      </c>
      <c r="AL21" s="22" cm="1">
        <f t="array" aca="1" ref="AL21" ca="1">SUMPRODUCT(($E21:$AH21)*(AL$3=$E$3:$AH$3)*(AL$4=$E$4:$AH$4)*(AL$5=$E$5:$AH$5)*(AL$6=$E$6:$AH$6))</f>
        <v>45.688585838978327</v>
      </c>
      <c r="AM21" s="23" cm="1">
        <f t="array" aca="1" ref="AM21" ca="1">SUMPRODUCT(($E21:$AH21)*(AM$3=$E$3:$AH$3)*(AM$4=$E$4:$AH$4)*(AM$5=$E$5:$AH$5)*(AM$6=$E$6:$AH$6))</f>
        <v>45.688585838978327</v>
      </c>
      <c r="AN21" s="22" cm="1">
        <f t="array" aca="1" ref="AN21" ca="1">SUMPRODUCT(($E21:$AH21)*(AN$3=$E$3:$AH$3)*(AN$4=$E$4:$AH$4)*(AN$5=$E$5:$AH$5)*(AN$6=$E$6:$AH$6))</f>
        <v>45.688585838978327</v>
      </c>
      <c r="AO21" s="22" cm="1">
        <f t="array" aca="1" ref="AO21" ca="1">SUMPRODUCT(($E21:$AH21)*(AO$3=$E$3:$AH$3)*(AO$4=$E$4:$AH$4)*(AO$5=$E$5:$AH$5)*(AO$6=$E$6:$AH$6))</f>
        <v>45.688585838978327</v>
      </c>
      <c r="AP21" s="22" cm="1">
        <f t="array" aca="1" ref="AP21" ca="1">SUMPRODUCT(($E21:$AH21)*(AP$3=$E$3:$AH$3)*(AP$4=$E$4:$AH$4)*(AP$5=$E$5:$AH$5)*(AP$6=$E$6:$AH$6))</f>
        <v>45.688585838978327</v>
      </c>
      <c r="AQ21" s="22" cm="1">
        <f t="array" aca="1" ref="AQ21" ca="1">SUMPRODUCT(($E21:$AH21)*(AQ$3=$E$3:$AH$3)*(AQ$4=$E$4:$AH$4)*(AQ$5=$E$5:$AH$5)*(AQ$6=$E$6:$AH$6))</f>
        <v>45.688585838978327</v>
      </c>
      <c r="AR21" s="22" cm="1">
        <f t="array" aca="1" ref="AR21" ca="1">SUMPRODUCT(($E21:$AH21)*(AR$3=$E$3:$AH$3)*(AR$4=$E$4:$AH$4)*(AR$5=$E$5:$AH$5)*(AR$6=$E$6:$AH$6))</f>
        <v>45.688585838978327</v>
      </c>
      <c r="AS21" s="22" cm="1">
        <f t="array" aca="1" ref="AS21" ca="1">SUMPRODUCT(($E21:$AH21)*(AS$3=$E$3:$AH$3)*(AS$4=$E$4:$AH$4)*(AS$5=$E$5:$AH$5)*(AS$6=$E$6:$AH$6))</f>
        <v>45.688585838978327</v>
      </c>
      <c r="AU21" s="22" cm="1">
        <f t="array" aca="1" ref="AU21" ca="1">SUMPRODUCT(($E21:$AH21)*(AU$5=$E$5:$AH$5))</f>
        <v>91.377171677956667</v>
      </c>
      <c r="AV21" s="22" cm="1">
        <f t="array" aca="1" ref="AV21" ca="1">SUMPRODUCT(($E21:$AH21)*(AV$5=$E$5:$AH$5))</f>
        <v>182.75434335591331</v>
      </c>
      <c r="AW21" s="22" cm="1">
        <f t="array" aca="1" ref="AW21" ca="1">SUMPRODUCT(($E21:$AH21)*(AW$5=$E$5:$AH$5))</f>
        <v>182.75434335591331</v>
      </c>
    </row>
    <row r="22" spans="1:49" x14ac:dyDescent="0.2">
      <c r="C22" s="20" t="s">
        <v>22</v>
      </c>
      <c r="E22" s="21">
        <f>E122</f>
        <v>290.25</v>
      </c>
      <c r="F22" s="21">
        <f t="shared" ref="F22:AH22" si="18">F122</f>
        <v>290.25</v>
      </c>
      <c r="G22" s="21">
        <f t="shared" si="18"/>
        <v>290.25</v>
      </c>
      <c r="H22" s="21">
        <f t="shared" si="18"/>
        <v>290.25</v>
      </c>
      <c r="I22" s="21">
        <f t="shared" si="18"/>
        <v>290.25</v>
      </c>
      <c r="J22" s="21">
        <f t="shared" si="18"/>
        <v>290.25</v>
      </c>
      <c r="K22" s="21">
        <f t="shared" si="18"/>
        <v>290.25</v>
      </c>
      <c r="L22" s="21">
        <f t="shared" si="18"/>
        <v>290.25</v>
      </c>
      <c r="M22" s="21">
        <f t="shared" si="18"/>
        <v>290.25</v>
      </c>
      <c r="N22" s="21">
        <f t="shared" si="18"/>
        <v>290.25</v>
      </c>
      <c r="O22" s="21">
        <f t="shared" si="18"/>
        <v>290.25</v>
      </c>
      <c r="P22" s="21">
        <f t="shared" si="18"/>
        <v>290.25</v>
      </c>
      <c r="Q22" s="21">
        <f t="shared" si="18"/>
        <v>297.01666666666665</v>
      </c>
      <c r="R22" s="21">
        <f t="shared" si="18"/>
        <v>304.4083333333333</v>
      </c>
      <c r="S22" s="21">
        <f t="shared" si="18"/>
        <v>319.97166666666664</v>
      </c>
      <c r="T22" s="21">
        <f t="shared" si="18"/>
        <v>317.94166666666666</v>
      </c>
      <c r="U22" s="21">
        <f t="shared" si="18"/>
        <v>317.94166666666666</v>
      </c>
      <c r="V22" s="21">
        <f t="shared" si="18"/>
        <v>317.94166666666666</v>
      </c>
      <c r="W22" s="21">
        <f t="shared" si="18"/>
        <v>317.94166666666666</v>
      </c>
      <c r="X22" s="21">
        <f t="shared" si="18"/>
        <v>317.94166666666666</v>
      </c>
      <c r="Y22" s="21">
        <f t="shared" si="18"/>
        <v>333.22208333333339</v>
      </c>
      <c r="Z22" s="21">
        <f t="shared" si="18"/>
        <v>333.22208333333339</v>
      </c>
      <c r="AA22" s="21">
        <f t="shared" si="18"/>
        <v>333.22208333333339</v>
      </c>
      <c r="AB22" s="21">
        <f t="shared" si="18"/>
        <v>333.22208333333339</v>
      </c>
      <c r="AC22" s="21">
        <f t="shared" si="18"/>
        <v>333.22208333333339</v>
      </c>
      <c r="AD22" s="21">
        <f t="shared" si="18"/>
        <v>333.22208333333339</v>
      </c>
      <c r="AE22" s="21">
        <f t="shared" si="18"/>
        <v>333.22208333333339</v>
      </c>
      <c r="AF22" s="21">
        <f t="shared" si="18"/>
        <v>333.22208333333339</v>
      </c>
      <c r="AG22" s="21">
        <f t="shared" si="18"/>
        <v>333.22208333333339</v>
      </c>
      <c r="AH22" s="21">
        <f t="shared" si="18"/>
        <v>333.22208333333339</v>
      </c>
      <c r="AJ22" s="22" cm="1">
        <f t="array" aca="1" ref="AJ22" ca="1">SUMPRODUCT(($E22:$AH22)*(AJ$3&amp;AJ$4&amp;AJ$5&amp;AJ$6=$E$3:$AH$3&amp;$E$4:$AH$4&amp;$E$5:$AH$5&amp;$E$6:$AH$6))</f>
        <v>870.75</v>
      </c>
      <c r="AK22" s="22" cm="1">
        <f t="array" aca="1" ref="AK22" ca="1">SUMPRODUCT(($E22:$AH22)*(AK$3=$E$3:$AH$3)*(AK$4=$E$4:$AH$4)*(AK$5=$E$5:$AH$5)*(AK$6=$E$6:$AH$6))</f>
        <v>870.75</v>
      </c>
      <c r="AL22" s="22" cm="1">
        <f t="array" aca="1" ref="AL22" ca="1">SUMPRODUCT(($E22:$AH22)*(AL$3=$E$3:$AH$3)*(AL$4=$E$4:$AH$4)*(AL$5=$E$5:$AH$5)*(AL$6=$E$6:$AH$6))</f>
        <v>870.75</v>
      </c>
      <c r="AM22" s="23" cm="1">
        <f t="array" aca="1" ref="AM22" ca="1">SUMPRODUCT(($E22:$AH22)*(AM$3=$E$3:$AH$3)*(AM$4=$E$4:$AH$4)*(AM$5=$E$5:$AH$5)*(AM$6=$E$6:$AH$6))</f>
        <v>870.75</v>
      </c>
      <c r="AN22" s="22" cm="1">
        <f t="array" aca="1" ref="AN22" ca="1">SUMPRODUCT(($E22:$AH22)*(AN$3=$E$3:$AH$3)*(AN$4=$E$4:$AH$4)*(AN$5=$E$5:$AH$5)*(AN$6=$E$6:$AH$6))</f>
        <v>921.39666666666653</v>
      </c>
      <c r="AO22" s="22" cm="1">
        <f t="array" aca="1" ref="AO22" ca="1">SUMPRODUCT(($E22:$AH22)*(AO$3=$E$3:$AH$3)*(AO$4=$E$4:$AH$4)*(AO$5=$E$5:$AH$5)*(AO$6=$E$6:$AH$6))</f>
        <v>953.82500000000005</v>
      </c>
      <c r="AP22" s="22" cm="1">
        <f t="array" aca="1" ref="AP22" ca="1">SUMPRODUCT(($E22:$AH22)*(AP$3=$E$3:$AH$3)*(AP$4=$E$4:$AH$4)*(AP$5=$E$5:$AH$5)*(AP$6=$E$6:$AH$6))</f>
        <v>969.10541666666677</v>
      </c>
      <c r="AQ22" s="22" cm="1">
        <f t="array" aca="1" ref="AQ22" ca="1">SUMPRODUCT(($E22:$AH22)*(AQ$3=$E$3:$AH$3)*(AQ$4=$E$4:$AH$4)*(AQ$5=$E$5:$AH$5)*(AQ$6=$E$6:$AH$6))</f>
        <v>999.66625000000022</v>
      </c>
      <c r="AR22" s="22" cm="1">
        <f t="array" aca="1" ref="AR22" ca="1">SUMPRODUCT(($E22:$AH22)*(AR$3=$E$3:$AH$3)*(AR$4=$E$4:$AH$4)*(AR$5=$E$5:$AH$5)*(AR$6=$E$6:$AH$6))</f>
        <v>999.66625000000022</v>
      </c>
      <c r="AS22" s="22" cm="1">
        <f t="array" aca="1" ref="AS22" ca="1">SUMPRODUCT(($E22:$AH22)*(AS$3=$E$3:$AH$3)*(AS$4=$E$4:$AH$4)*(AS$5=$E$5:$AH$5)*(AS$6=$E$6:$AH$6))</f>
        <v>999.66625000000022</v>
      </c>
      <c r="AU22" s="22" cm="1">
        <f t="array" aca="1" ref="AU22" ca="1">SUMPRODUCT(($E22:$AH22)*(AU$5=$E$5:$AH$5))</f>
        <v>1741.5</v>
      </c>
      <c r="AV22" s="22" cm="1">
        <f t="array" aca="1" ref="AV22" ca="1">SUMPRODUCT(($E22:$AH22)*(AV$5=$E$5:$AH$5))</f>
        <v>3616.7216666666668</v>
      </c>
      <c r="AW22" s="22" cm="1">
        <f t="array" aca="1" ref="AW22" ca="1">SUMPRODUCT(($E22:$AH22)*(AW$5=$E$5:$AH$5))</f>
        <v>3968.1041666666679</v>
      </c>
    </row>
    <row r="23" spans="1:49" x14ac:dyDescent="0.2">
      <c r="C23" s="20" t="s">
        <v>23</v>
      </c>
      <c r="E23" s="21">
        <f>E127</f>
        <v>0</v>
      </c>
      <c r="F23" s="21">
        <f t="shared" ref="F23:AH23" si="19">F127</f>
        <v>0</v>
      </c>
      <c r="G23" s="21">
        <f t="shared" si="19"/>
        <v>0</v>
      </c>
      <c r="H23" s="21">
        <f t="shared" si="19"/>
        <v>0</v>
      </c>
      <c r="I23" s="21">
        <f t="shared" si="19"/>
        <v>0</v>
      </c>
      <c r="J23" s="21">
        <f t="shared" si="19"/>
        <v>0</v>
      </c>
      <c r="K23" s="21">
        <f t="shared" si="19"/>
        <v>0</v>
      </c>
      <c r="L23" s="21">
        <f t="shared" si="19"/>
        <v>0</v>
      </c>
      <c r="M23" s="21">
        <f t="shared" si="19"/>
        <v>389.76</v>
      </c>
      <c r="N23" s="21">
        <f t="shared" si="19"/>
        <v>0</v>
      </c>
      <c r="O23" s="21">
        <f t="shared" si="19"/>
        <v>0</v>
      </c>
      <c r="P23" s="21">
        <f t="shared" si="19"/>
        <v>0</v>
      </c>
      <c r="Q23" s="21">
        <f t="shared" si="19"/>
        <v>0</v>
      </c>
      <c r="R23" s="21">
        <f t="shared" si="19"/>
        <v>0</v>
      </c>
      <c r="S23" s="21">
        <f t="shared" si="19"/>
        <v>0</v>
      </c>
      <c r="T23" s="21">
        <f t="shared" si="19"/>
        <v>0</v>
      </c>
      <c r="U23" s="21">
        <f t="shared" si="19"/>
        <v>0</v>
      </c>
      <c r="V23" s="21">
        <f t="shared" si="19"/>
        <v>0</v>
      </c>
      <c r="W23" s="21">
        <f t="shared" si="19"/>
        <v>0</v>
      </c>
      <c r="X23" s="21">
        <f t="shared" si="19"/>
        <v>0</v>
      </c>
      <c r="Y23" s="21">
        <f t="shared" si="19"/>
        <v>400.60649999999998</v>
      </c>
      <c r="Z23" s="21">
        <f t="shared" si="19"/>
        <v>0</v>
      </c>
      <c r="AA23" s="21">
        <f t="shared" si="19"/>
        <v>0</v>
      </c>
      <c r="AB23" s="21">
        <f t="shared" si="19"/>
        <v>0</v>
      </c>
      <c r="AC23" s="21">
        <f t="shared" si="19"/>
        <v>0</v>
      </c>
      <c r="AD23" s="21">
        <f t="shared" si="19"/>
        <v>0</v>
      </c>
      <c r="AE23" s="21">
        <f t="shared" si="19"/>
        <v>0</v>
      </c>
      <c r="AF23" s="21">
        <f t="shared" si="19"/>
        <v>0</v>
      </c>
      <c r="AG23" s="21">
        <f t="shared" si="19"/>
        <v>0</v>
      </c>
      <c r="AH23" s="21">
        <f t="shared" si="19"/>
        <v>0</v>
      </c>
      <c r="AJ23" s="22" cm="1">
        <f t="array" aca="1" ref="AJ23" ca="1">SUMPRODUCT(($E23:$AH23)*(AJ$3&amp;AJ$4&amp;AJ$5&amp;AJ$6=$E$3:$AH$3&amp;$E$4:$AH$4&amp;$E$5:$AH$5&amp;$E$6:$AH$6))</f>
        <v>0</v>
      </c>
      <c r="AK23" s="22" cm="1">
        <f t="array" aca="1" ref="AK23" ca="1">SUMPRODUCT(($E23:$AH23)*(AK$3=$E$3:$AH$3)*(AK$4=$E$4:$AH$4)*(AK$5=$E$5:$AH$5)*(AK$6=$E$6:$AH$6))</f>
        <v>0</v>
      </c>
      <c r="AL23" s="22" cm="1">
        <f t="array" aca="1" ref="AL23" ca="1">SUMPRODUCT(($E23:$AH23)*(AL$3=$E$3:$AH$3)*(AL$4=$E$4:$AH$4)*(AL$5=$E$5:$AH$5)*(AL$6=$E$6:$AH$6))</f>
        <v>389.76</v>
      </c>
      <c r="AM23" s="23" cm="1">
        <f t="array" aca="1" ref="AM23" ca="1">SUMPRODUCT(($E23:$AH23)*(AM$3=$E$3:$AH$3)*(AM$4=$E$4:$AH$4)*(AM$5=$E$5:$AH$5)*(AM$6=$E$6:$AH$6))</f>
        <v>0</v>
      </c>
      <c r="AN23" s="22" cm="1">
        <f t="array" aca="1" ref="AN23" ca="1">SUMPRODUCT(($E23:$AH23)*(AN$3=$E$3:$AH$3)*(AN$4=$E$4:$AH$4)*(AN$5=$E$5:$AH$5)*(AN$6=$E$6:$AH$6))</f>
        <v>0</v>
      </c>
      <c r="AO23" s="22" cm="1">
        <f t="array" aca="1" ref="AO23" ca="1">SUMPRODUCT(($E23:$AH23)*(AO$3=$E$3:$AH$3)*(AO$4=$E$4:$AH$4)*(AO$5=$E$5:$AH$5)*(AO$6=$E$6:$AH$6))</f>
        <v>0</v>
      </c>
      <c r="AP23" s="22" cm="1">
        <f t="array" aca="1" ref="AP23" ca="1">SUMPRODUCT(($E23:$AH23)*(AP$3=$E$3:$AH$3)*(AP$4=$E$4:$AH$4)*(AP$5=$E$5:$AH$5)*(AP$6=$E$6:$AH$6))</f>
        <v>400.60649999999998</v>
      </c>
      <c r="AQ23" s="22" cm="1">
        <f t="array" aca="1" ref="AQ23" ca="1">SUMPRODUCT(($E23:$AH23)*(AQ$3=$E$3:$AH$3)*(AQ$4=$E$4:$AH$4)*(AQ$5=$E$5:$AH$5)*(AQ$6=$E$6:$AH$6))</f>
        <v>0</v>
      </c>
      <c r="AR23" s="22" cm="1">
        <f t="array" aca="1" ref="AR23" ca="1">SUMPRODUCT(($E23:$AH23)*(AR$3=$E$3:$AH$3)*(AR$4=$E$4:$AH$4)*(AR$5=$E$5:$AH$5)*(AR$6=$E$6:$AH$6))</f>
        <v>0</v>
      </c>
      <c r="AS23" s="22" cm="1">
        <f t="array" aca="1" ref="AS23" ca="1">SUMPRODUCT(($E23:$AH23)*(AS$3=$E$3:$AH$3)*(AS$4=$E$4:$AH$4)*(AS$5=$E$5:$AH$5)*(AS$6=$E$6:$AH$6))</f>
        <v>0</v>
      </c>
      <c r="AU23" s="22" cm="1">
        <f t="array" aca="1" ref="AU23" ca="1">SUMPRODUCT(($E23:$AH23)*(AU$5=$E$5:$AH$5))</f>
        <v>0</v>
      </c>
      <c r="AV23" s="22" cm="1">
        <f t="array" aca="1" ref="AV23" ca="1">SUMPRODUCT(($E23:$AH23)*(AV$5=$E$5:$AH$5))</f>
        <v>389.76</v>
      </c>
      <c r="AW23" s="22" cm="1">
        <f t="array" aca="1" ref="AW23" ca="1">SUMPRODUCT(($E23:$AH23)*(AW$5=$E$5:$AH$5))</f>
        <v>400.60649999999998</v>
      </c>
    </row>
    <row r="24" spans="1:49" x14ac:dyDescent="0.2">
      <c r="C24" s="20" t="s">
        <v>24</v>
      </c>
      <c r="E24" s="21">
        <f ca="1">E132</f>
        <v>28.060805930349986</v>
      </c>
      <c r="F24" s="21">
        <f t="shared" ref="F24:AH24" ca="1" si="20">F132</f>
        <v>27.904555160312505</v>
      </c>
      <c r="G24" s="21">
        <f t="shared" ca="1" si="20"/>
        <v>28.497594212365705</v>
      </c>
      <c r="H24" s="21">
        <f t="shared" ca="1" si="20"/>
        <v>28.123459268379939</v>
      </c>
      <c r="I24" s="21">
        <f t="shared" ca="1" si="20"/>
        <v>28.022409926223933</v>
      </c>
      <c r="J24" s="21">
        <f t="shared" ca="1" si="20"/>
        <v>28.45283808301085</v>
      </c>
      <c r="K24" s="21">
        <f t="shared" ca="1" si="20"/>
        <v>28.297291652640723</v>
      </c>
      <c r="L24" s="21">
        <f t="shared" ca="1" si="20"/>
        <v>28.509404654645248</v>
      </c>
      <c r="M24" s="21">
        <f t="shared" ca="1" si="20"/>
        <v>27.906239537241042</v>
      </c>
      <c r="N24" s="21">
        <f t="shared" ca="1" si="20"/>
        <v>28.148710076876299</v>
      </c>
      <c r="O24" s="21">
        <f t="shared" ca="1" si="20"/>
        <v>28.383349212334618</v>
      </c>
      <c r="P24" s="21">
        <f t="shared" ca="1" si="20"/>
        <v>27.956947696306809</v>
      </c>
      <c r="Q24" s="21">
        <f t="shared" ca="1" si="20"/>
        <v>28.905331900132637</v>
      </c>
      <c r="R24" s="21">
        <f t="shared" ca="1" si="20"/>
        <v>29.610339995257828</v>
      </c>
      <c r="S24" s="21">
        <f t="shared" ca="1" si="20"/>
        <v>31.231858614045759</v>
      </c>
      <c r="T24" s="21">
        <f t="shared" ca="1" si="20"/>
        <v>31.020356185508206</v>
      </c>
      <c r="U24" s="21">
        <f t="shared" ca="1" si="20"/>
        <v>31.020356185508206</v>
      </c>
      <c r="V24" s="21">
        <f t="shared" ca="1" si="20"/>
        <v>31.020356185508206</v>
      </c>
      <c r="W24" s="21">
        <f t="shared" ca="1" si="20"/>
        <v>31.020356185508206</v>
      </c>
      <c r="X24" s="21">
        <f t="shared" ca="1" si="20"/>
        <v>31.020356185508206</v>
      </c>
      <c r="Y24" s="21">
        <f t="shared" ca="1" si="20"/>
        <v>31.020356185508206</v>
      </c>
      <c r="Z24" s="21">
        <f t="shared" ca="1" si="20"/>
        <v>31.020356185508206</v>
      </c>
      <c r="AA24" s="21">
        <f t="shared" ca="1" si="20"/>
        <v>31.020356185508206</v>
      </c>
      <c r="AB24" s="21">
        <f t="shared" ca="1" si="20"/>
        <v>31.020356185508206</v>
      </c>
      <c r="AC24" s="21">
        <f t="shared" ca="1" si="20"/>
        <v>31.020356185508206</v>
      </c>
      <c r="AD24" s="21">
        <f t="shared" ca="1" si="20"/>
        <v>31.020356185508206</v>
      </c>
      <c r="AE24" s="21">
        <f t="shared" ca="1" si="20"/>
        <v>31.020356185508206</v>
      </c>
      <c r="AF24" s="21">
        <f t="shared" ca="1" si="20"/>
        <v>31.020356185508206</v>
      </c>
      <c r="AG24" s="21">
        <f t="shared" ca="1" si="20"/>
        <v>31.020356185508206</v>
      </c>
      <c r="AH24" s="21">
        <f t="shared" ca="1" si="20"/>
        <v>31.020356185508206</v>
      </c>
      <c r="AJ24" s="22" cm="1">
        <f t="array" aca="1" ref="AJ24" ca="1">SUMPRODUCT(($E24:$AH24)*(AJ$3&amp;AJ$4&amp;AJ$5&amp;AJ$6=$E$3:$AH$3&amp;$E$4:$AH$4&amp;$E$5:$AH$5&amp;$E$6:$AH$6))</f>
        <v>84.462955303028195</v>
      </c>
      <c r="AK24" s="22" cm="1">
        <f t="array" aca="1" ref="AK24" ca="1">SUMPRODUCT(($E24:$AH24)*(AK$3=$E$3:$AH$3)*(AK$4=$E$4:$AH$4)*(AK$5=$E$5:$AH$5)*(AK$6=$E$6:$AH$6))</f>
        <v>84.598707277614722</v>
      </c>
      <c r="AL24" s="22" cm="1">
        <f t="array" aca="1" ref="AL24" ca="1">SUMPRODUCT(($E24:$AH24)*(AL$3=$E$3:$AH$3)*(AL$4=$E$4:$AH$4)*(AL$5=$E$5:$AH$5)*(AL$6=$E$6:$AH$6))</f>
        <v>84.71293584452701</v>
      </c>
      <c r="AM24" s="23" cm="1">
        <f t="array" aca="1" ref="AM24" ca="1">SUMPRODUCT(($E24:$AH24)*(AM$3=$E$3:$AH$3)*(AM$4=$E$4:$AH$4)*(AM$5=$E$5:$AH$5)*(AM$6=$E$6:$AH$6))</f>
        <v>84.489006985517733</v>
      </c>
      <c r="AN24" s="22" cm="1">
        <f t="array" aca="1" ref="AN24" ca="1">SUMPRODUCT(($E24:$AH24)*(AN$3=$E$3:$AH$3)*(AN$4=$E$4:$AH$4)*(AN$5=$E$5:$AH$5)*(AN$6=$E$6:$AH$6))</f>
        <v>89.747530509436231</v>
      </c>
      <c r="AO24" s="22" cm="1">
        <f t="array" aca="1" ref="AO24" ca="1">SUMPRODUCT(($E24:$AH24)*(AO$3=$E$3:$AH$3)*(AO$4=$E$4:$AH$4)*(AO$5=$E$5:$AH$5)*(AO$6=$E$6:$AH$6))</f>
        <v>93.061068556524617</v>
      </c>
      <c r="AP24" s="22" cm="1">
        <f t="array" aca="1" ref="AP24" ca="1">SUMPRODUCT(($E24:$AH24)*(AP$3=$E$3:$AH$3)*(AP$4=$E$4:$AH$4)*(AP$5=$E$5:$AH$5)*(AP$6=$E$6:$AH$6))</f>
        <v>93.061068556524617</v>
      </c>
      <c r="AQ24" s="22" cm="1">
        <f t="array" aca="1" ref="AQ24" ca="1">SUMPRODUCT(($E24:$AH24)*(AQ$3=$E$3:$AH$3)*(AQ$4=$E$4:$AH$4)*(AQ$5=$E$5:$AH$5)*(AQ$6=$E$6:$AH$6))</f>
        <v>93.061068556524617</v>
      </c>
      <c r="AR24" s="22" cm="1">
        <f t="array" aca="1" ref="AR24" ca="1">SUMPRODUCT(($E24:$AH24)*(AR$3=$E$3:$AH$3)*(AR$4=$E$4:$AH$4)*(AR$5=$E$5:$AH$5)*(AR$6=$E$6:$AH$6))</f>
        <v>93.061068556524617</v>
      </c>
      <c r="AS24" s="22" cm="1">
        <f t="array" aca="1" ref="AS24" ca="1">SUMPRODUCT(($E24:$AH24)*(AS$3=$E$3:$AH$3)*(AS$4=$E$4:$AH$4)*(AS$5=$E$5:$AH$5)*(AS$6=$E$6:$AH$6))</f>
        <v>93.061068556524617</v>
      </c>
      <c r="AU24" s="22" cm="1">
        <f t="array" aca="1" ref="AU24" ca="1">SUMPRODUCT(($E24:$AH24)*(AU$5=$E$5:$AH$5))</f>
        <v>169.06166258064292</v>
      </c>
      <c r="AV24" s="22" cm="1">
        <f t="array" aca="1" ref="AV24" ca="1">SUMPRODUCT(($E24:$AH24)*(AV$5=$E$5:$AH$5))</f>
        <v>352.01054189600552</v>
      </c>
      <c r="AW24" s="22" cm="1">
        <f t="array" aca="1" ref="AW24" ca="1">SUMPRODUCT(($E24:$AH24)*(AW$5=$E$5:$AH$5))</f>
        <v>372.24427422609847</v>
      </c>
    </row>
    <row r="25" spans="1:49" x14ac:dyDescent="0.2">
      <c r="C25" s="20" t="s">
        <v>25</v>
      </c>
      <c r="E25" s="21">
        <f>E139</f>
        <v>12.185942010647937</v>
      </c>
      <c r="F25" s="21">
        <f t="shared" ref="F25:AH25" si="21">F139</f>
        <v>12.154127233632403</v>
      </c>
      <c r="G25" s="21">
        <f t="shared" si="21"/>
        <v>12.328902667974944</v>
      </c>
      <c r="H25" s="21">
        <f t="shared" si="21"/>
        <v>12.400810951891399</v>
      </c>
      <c r="I25" s="21">
        <f t="shared" si="21"/>
        <v>12.303925584841489</v>
      </c>
      <c r="J25" s="21">
        <f t="shared" si="21"/>
        <v>12.439424274400615</v>
      </c>
      <c r="K25" s="21">
        <f t="shared" si="21"/>
        <v>12.133899957740798</v>
      </c>
      <c r="L25" s="21">
        <f t="shared" si="21"/>
        <v>11.954454082828804</v>
      </c>
      <c r="M25" s="21">
        <f t="shared" si="21"/>
        <v>12.175428824138924</v>
      </c>
      <c r="N25" s="21">
        <f t="shared" si="21"/>
        <v>12.290006021446709</v>
      </c>
      <c r="O25" s="21">
        <f t="shared" si="21"/>
        <v>12.287552615320768</v>
      </c>
      <c r="P25" s="21">
        <f t="shared" si="21"/>
        <v>12.014487223248898</v>
      </c>
      <c r="Q25" s="21">
        <f t="shared" ca="1" si="21"/>
        <v>12.502927861150672</v>
      </c>
      <c r="R25" s="21">
        <f t="shared" ca="1" si="21"/>
        <v>12.833534126709946</v>
      </c>
      <c r="S25" s="21">
        <f t="shared" ca="1" si="21"/>
        <v>13.478717263134708</v>
      </c>
      <c r="T25" s="21">
        <f t="shared" ca="1" si="21"/>
        <v>13.394562940992349</v>
      </c>
      <c r="U25" s="21">
        <f t="shared" ca="1" si="21"/>
        <v>13.394562940992349</v>
      </c>
      <c r="V25" s="21">
        <f t="shared" ca="1" si="21"/>
        <v>13.394562940992349</v>
      </c>
      <c r="W25" s="21">
        <f t="shared" ca="1" si="21"/>
        <v>13.394562940992349</v>
      </c>
      <c r="X25" s="21">
        <f t="shared" ca="1" si="21"/>
        <v>13.394562940992349</v>
      </c>
      <c r="Y25" s="21">
        <f t="shared" ca="1" si="21"/>
        <v>13.394562940992349</v>
      </c>
      <c r="Z25" s="21">
        <f t="shared" ca="1" si="21"/>
        <v>13.394562940992349</v>
      </c>
      <c r="AA25" s="21">
        <f t="shared" ca="1" si="21"/>
        <v>13.394562940992349</v>
      </c>
      <c r="AB25" s="21">
        <f t="shared" ca="1" si="21"/>
        <v>13.394562940992349</v>
      </c>
      <c r="AC25" s="21">
        <f t="shared" ca="1" si="21"/>
        <v>13.394562940992349</v>
      </c>
      <c r="AD25" s="21">
        <f t="shared" ca="1" si="21"/>
        <v>13.394562940992349</v>
      </c>
      <c r="AE25" s="21">
        <f t="shared" ca="1" si="21"/>
        <v>13.394562940992349</v>
      </c>
      <c r="AF25" s="21">
        <f t="shared" ca="1" si="21"/>
        <v>13.394562940992349</v>
      </c>
      <c r="AG25" s="21">
        <f t="shared" ca="1" si="21"/>
        <v>13.394562940992349</v>
      </c>
      <c r="AH25" s="21">
        <f t="shared" ca="1" si="21"/>
        <v>13.394562940992349</v>
      </c>
      <c r="AJ25" s="22" cm="1">
        <f t="array" aca="1" ref="AJ25" ca="1">SUMPRODUCT(($E25:$AH25)*(AJ$3&amp;AJ$4&amp;AJ$5&amp;AJ$6=$E$3:$AH$3&amp;$E$4:$AH$4&amp;$E$5:$AH$5&amp;$E$6:$AH$6))</f>
        <v>36.668971912255287</v>
      </c>
      <c r="AK25" s="22" cm="1">
        <f t="array" aca="1" ref="AK25" ca="1">SUMPRODUCT(($E25:$AH25)*(AK$3=$E$3:$AH$3)*(AK$4=$E$4:$AH$4)*(AK$5=$E$5:$AH$5)*(AK$6=$E$6:$AH$6))</f>
        <v>37.144160811133503</v>
      </c>
      <c r="AL25" s="22" cm="1">
        <f t="array" aca="1" ref="AL25" ca="1">SUMPRODUCT(($E25:$AH25)*(AL$3=$E$3:$AH$3)*(AL$4=$E$4:$AH$4)*(AL$5=$E$5:$AH$5)*(AL$6=$E$6:$AH$6))</f>
        <v>36.263782864708524</v>
      </c>
      <c r="AM25" s="23" cm="1">
        <f t="array" aca="1" ref="AM25" ca="1">SUMPRODUCT(($E25:$AH25)*(AM$3=$E$3:$AH$3)*(AM$4=$E$4:$AH$4)*(AM$5=$E$5:$AH$5)*(AM$6=$E$6:$AH$6))</f>
        <v>36.592045860016377</v>
      </c>
      <c r="AN25" s="22" cm="1">
        <f t="array" aca="1" ref="AN25" ca="1">SUMPRODUCT(($E25:$AH25)*(AN$3=$E$3:$AH$3)*(AN$4=$E$4:$AH$4)*(AN$5=$E$5:$AH$5)*(AN$6=$E$6:$AH$6))</f>
        <v>38.815179250995328</v>
      </c>
      <c r="AO25" s="22" cm="1">
        <f t="array" aca="1" ref="AO25" ca="1">SUMPRODUCT(($E25:$AH25)*(AO$3=$E$3:$AH$3)*(AO$4=$E$4:$AH$4)*(AO$5=$E$5:$AH$5)*(AO$6=$E$6:$AH$6))</f>
        <v>40.183688822977047</v>
      </c>
      <c r="AP25" s="22" cm="1">
        <f t="array" aca="1" ref="AP25" ca="1">SUMPRODUCT(($E25:$AH25)*(AP$3=$E$3:$AH$3)*(AP$4=$E$4:$AH$4)*(AP$5=$E$5:$AH$5)*(AP$6=$E$6:$AH$6))</f>
        <v>40.183688822977047</v>
      </c>
      <c r="AQ25" s="22" cm="1">
        <f t="array" aca="1" ref="AQ25" ca="1">SUMPRODUCT(($E25:$AH25)*(AQ$3=$E$3:$AH$3)*(AQ$4=$E$4:$AH$4)*(AQ$5=$E$5:$AH$5)*(AQ$6=$E$6:$AH$6))</f>
        <v>40.183688822977047</v>
      </c>
      <c r="AR25" s="22" cm="1">
        <f t="array" aca="1" ref="AR25" ca="1">SUMPRODUCT(($E25:$AH25)*(AR$3=$E$3:$AH$3)*(AR$4=$E$4:$AH$4)*(AR$5=$E$5:$AH$5)*(AR$6=$E$6:$AH$6))</f>
        <v>40.183688822977047</v>
      </c>
      <c r="AS25" s="22" cm="1">
        <f t="array" aca="1" ref="AS25" ca="1">SUMPRODUCT(($E25:$AH25)*(AS$3=$E$3:$AH$3)*(AS$4=$E$4:$AH$4)*(AS$5=$E$5:$AH$5)*(AS$6=$E$6:$AH$6))</f>
        <v>40.183688822977047</v>
      </c>
      <c r="AU25" s="22" cm="1">
        <f t="array" aca="1" ref="AU25" ca="1">SUMPRODUCT(($E25:$AH25)*(AU$5=$E$5:$AH$5))</f>
        <v>73.81313272338879</v>
      </c>
      <c r="AV25" s="22" cm="1">
        <f t="array" aca="1" ref="AV25" ca="1">SUMPRODUCT(($E25:$AH25)*(AV$5=$E$5:$AH$5))</f>
        <v>151.85469679869729</v>
      </c>
      <c r="AW25" s="22" cm="1">
        <f t="array" aca="1" ref="AW25" ca="1">SUMPRODUCT(($E25:$AH25)*(AW$5=$E$5:$AH$5))</f>
        <v>160.73475529190819</v>
      </c>
    </row>
    <row r="26" spans="1:49" x14ac:dyDescent="0.2">
      <c r="C26" s="25" t="s">
        <v>26</v>
      </c>
      <c r="D26" s="32"/>
      <c r="E26" s="33">
        <f>E162</f>
        <v>466.33051765939143</v>
      </c>
      <c r="F26" s="33">
        <f t="shared" ref="F26:AH26" si="22">F162</f>
        <v>411.25055864271195</v>
      </c>
      <c r="G26" s="33">
        <f t="shared" si="22"/>
        <v>325.43115049900075</v>
      </c>
      <c r="H26" s="33">
        <f t="shared" si="22"/>
        <v>283.09912311626238</v>
      </c>
      <c r="I26" s="33">
        <f t="shared" si="22"/>
        <v>255.76143729257313</v>
      </c>
      <c r="J26" s="33">
        <f t="shared" si="22"/>
        <v>331.3179786842739</v>
      </c>
      <c r="K26" s="33">
        <f t="shared" si="22"/>
        <v>347.25322529242891</v>
      </c>
      <c r="L26" s="33">
        <f t="shared" si="22"/>
        <v>287.43922102738668</v>
      </c>
      <c r="M26" s="33">
        <f t="shared" si="22"/>
        <v>276.18080868502204</v>
      </c>
      <c r="N26" s="33">
        <f t="shared" si="22"/>
        <v>331.1039208234501</v>
      </c>
      <c r="O26" s="33">
        <f t="shared" si="22"/>
        <v>410.12473139176257</v>
      </c>
      <c r="P26" s="33">
        <f t="shared" si="22"/>
        <v>492.55763835999801</v>
      </c>
      <c r="Q26" s="33">
        <f t="shared" si="22"/>
        <v>432.20772937043762</v>
      </c>
      <c r="R26" s="33">
        <f t="shared" si="22"/>
        <v>383.23952647174065</v>
      </c>
      <c r="S26" s="33">
        <f t="shared" si="22"/>
        <v>316.40296995337928</v>
      </c>
      <c r="T26" s="33">
        <f t="shared" si="22"/>
        <v>295.37424700548763</v>
      </c>
      <c r="U26" s="33">
        <f t="shared" si="22"/>
        <v>266.97544533134896</v>
      </c>
      <c r="V26" s="33">
        <f t="shared" si="22"/>
        <v>333.59895535371396</v>
      </c>
      <c r="W26" s="33">
        <f t="shared" si="22"/>
        <v>380.1638588506043</v>
      </c>
      <c r="X26" s="33">
        <f t="shared" si="22"/>
        <v>316.68053689956974</v>
      </c>
      <c r="Y26" s="33">
        <f t="shared" si="22"/>
        <v>291.68898121936365</v>
      </c>
      <c r="Z26" s="33">
        <f t="shared" si="22"/>
        <v>362.42338948565742</v>
      </c>
      <c r="AA26" s="33">
        <f t="shared" si="22"/>
        <v>410.19191364067774</v>
      </c>
      <c r="AB26" s="33">
        <f t="shared" si="22"/>
        <v>461.76165226450263</v>
      </c>
      <c r="AC26" s="33">
        <f t="shared" si="22"/>
        <v>444.58111164429289</v>
      </c>
      <c r="AD26" s="33">
        <f t="shared" si="22"/>
        <v>394.21537567945734</v>
      </c>
      <c r="AE26" s="33">
        <f t="shared" si="22"/>
        <v>325.89553846687261</v>
      </c>
      <c r="AF26" s="33">
        <f t="shared" si="22"/>
        <v>305.27140096194086</v>
      </c>
      <c r="AG26" s="33">
        <f t="shared" si="22"/>
        <v>275.79428618588832</v>
      </c>
      <c r="AH26" s="33">
        <f t="shared" si="22"/>
        <v>344.02824903576112</v>
      </c>
      <c r="AJ26" s="28" cm="1">
        <f t="array" aca="1" ref="AJ26" ca="1">SUMPRODUCT(($E26:$AH26)*(AJ$3&amp;AJ$4&amp;AJ$5&amp;AJ$6=$E$3:$AH$3&amp;$E$4:$AH$4&amp;$E$5:$AH$5&amp;$E$6:$AH$6))</f>
        <v>1203.0122268011041</v>
      </c>
      <c r="AK26" s="28" cm="1">
        <f t="array" aca="1" ref="AK26" ca="1">SUMPRODUCT(($E26:$AH26)*(AK$3=$E$3:$AH$3)*(AK$4=$E$4:$AH$4)*(AK$5=$E$5:$AH$5)*(AK$6=$E$6:$AH$6))</f>
        <v>870.17853909310929</v>
      </c>
      <c r="AL26" s="28" cm="1">
        <f t="array" aca="1" ref="AL26" ca="1">SUMPRODUCT(($E26:$AH26)*(AL$3=$E$3:$AH$3)*(AL$4=$E$4:$AH$4)*(AL$5=$E$5:$AH$5)*(AL$6=$E$6:$AH$6))</f>
        <v>910.87325500483769</v>
      </c>
      <c r="AM26" s="29" cm="1">
        <f t="array" aca="1" ref="AM26" ca="1">SUMPRODUCT(($E26:$AH26)*(AM$3=$E$3:$AH$3)*(AM$4=$E$4:$AH$4)*(AM$5=$E$5:$AH$5)*(AM$6=$E$6:$AH$6))</f>
        <v>1233.7862905752106</v>
      </c>
      <c r="AN26" s="28" cm="1">
        <f t="array" aca="1" ref="AN26" ca="1">SUMPRODUCT(($E26:$AH26)*(AN$3=$E$3:$AH$3)*(AN$4=$E$4:$AH$4)*(AN$5=$E$5:$AH$5)*(AN$6=$E$6:$AH$6))</f>
        <v>1131.8502257955574</v>
      </c>
      <c r="AO26" s="28" cm="1">
        <f t="array" aca="1" ref="AO26" ca="1">SUMPRODUCT(($E26:$AH26)*(AO$3=$E$3:$AH$3)*(AO$4=$E$4:$AH$4)*(AO$5=$E$5:$AH$5)*(AO$6=$E$6:$AH$6))</f>
        <v>895.94864769055062</v>
      </c>
      <c r="AP26" s="28" cm="1">
        <f t="array" aca="1" ref="AP26" ca="1">SUMPRODUCT(($E26:$AH26)*(AP$3=$E$3:$AH$3)*(AP$4=$E$4:$AH$4)*(AP$5=$E$5:$AH$5)*(AP$6=$E$6:$AH$6))</f>
        <v>988.5333769695377</v>
      </c>
      <c r="AQ26" s="28" cm="1">
        <f t="array" aca="1" ref="AQ26" ca="1">SUMPRODUCT(($E26:$AH26)*(AQ$3=$E$3:$AH$3)*(AQ$4=$E$4:$AH$4)*(AQ$5=$E$5:$AH$5)*(AQ$6=$E$6:$AH$6))</f>
        <v>1234.3769553908378</v>
      </c>
      <c r="AR26" s="28" cm="1">
        <f t="array" aca="1" ref="AR26" ca="1">SUMPRODUCT(($E26:$AH26)*(AR$3=$E$3:$AH$3)*(AR$4=$E$4:$AH$4)*(AR$5=$E$5:$AH$5)*(AR$6=$E$6:$AH$6))</f>
        <v>1164.6920257906227</v>
      </c>
      <c r="AS26" s="28" cm="1">
        <f t="array" aca="1" ref="AS26" ca="1">SUMPRODUCT(($E26:$AH26)*(AS$3=$E$3:$AH$3)*(AS$4=$E$4:$AH$4)*(AS$5=$E$5:$AH$5)*(AS$6=$E$6:$AH$6))</f>
        <v>925.09393618359036</v>
      </c>
      <c r="AU26" s="28" cm="1">
        <f t="array" aca="1" ref="AU26" ca="1">SUMPRODUCT(($E26:$AH26)*(AU$5=$E$5:$AH$5))</f>
        <v>2073.1907658942137</v>
      </c>
      <c r="AV26" s="28" cm="1">
        <f t="array" aca="1" ref="AV26" ca="1">SUMPRODUCT(($E26:$AH26)*(AV$5=$E$5:$AH$5))</f>
        <v>4172.4584190661562</v>
      </c>
      <c r="AW26" s="28" cm="1">
        <f t="array" aca="1" ref="AW26" ca="1">SUMPRODUCT(($E26:$AH26)*(AW$5=$E$5:$AH$5))</f>
        <v>4312.6962943345879</v>
      </c>
    </row>
    <row r="27" spans="1:49" x14ac:dyDescent="0.2">
      <c r="C27" s="16" t="s">
        <v>27</v>
      </c>
      <c r="E27" s="30">
        <f ca="1">SUM(E15:E26)</f>
        <v>1022.5023582104493</v>
      </c>
      <c r="F27" s="30">
        <f t="shared" ref="F27:AH27" ca="1" si="23">SUM(F15:F26)</f>
        <v>947.07259348485218</v>
      </c>
      <c r="G27" s="30">
        <f t="shared" ca="1" si="23"/>
        <v>846.4459246746294</v>
      </c>
      <c r="H27" s="30">
        <f t="shared" ca="1" si="23"/>
        <v>804.2946311420385</v>
      </c>
      <c r="I27" s="30">
        <f t="shared" ca="1" si="23"/>
        <v>776.60733032814119</v>
      </c>
      <c r="J27" s="30">
        <f t="shared" ca="1" si="23"/>
        <v>884.11948252207412</v>
      </c>
      <c r="K27" s="30">
        <f t="shared" ca="1" si="23"/>
        <v>913.47441828919136</v>
      </c>
      <c r="L27" s="30">
        <f t="shared" ca="1" si="23"/>
        <v>829.82981164315231</v>
      </c>
      <c r="M27" s="30">
        <f t="shared" ca="1" si="23"/>
        <v>1199.5435193656226</v>
      </c>
      <c r="N27" s="30">
        <f t="shared" ca="1" si="23"/>
        <v>910.60040020632368</v>
      </c>
      <c r="O27" s="30">
        <f t="shared" ca="1" si="23"/>
        <v>991.46317065040284</v>
      </c>
      <c r="P27" s="30">
        <f t="shared" ca="1" si="23"/>
        <v>1081.0853137034514</v>
      </c>
      <c r="Q27" s="30">
        <f t="shared" ca="1" si="23"/>
        <v>1013.39622435007</v>
      </c>
      <c r="R27" s="30">
        <f t="shared" ca="1" si="23"/>
        <v>947.33169750681816</v>
      </c>
      <c r="S27" s="30">
        <f t="shared" ca="1" si="23"/>
        <v>883.95773300547535</v>
      </c>
      <c r="T27" s="30">
        <f t="shared" ca="1" si="23"/>
        <v>861.73117126667</v>
      </c>
      <c r="U27" s="30">
        <f t="shared" ca="1" si="23"/>
        <v>831.00211247552909</v>
      </c>
      <c r="V27" s="30">
        <f t="shared" ca="1" si="23"/>
        <v>941.98330463261891</v>
      </c>
      <c r="W27" s="30">
        <f t="shared" ca="1" si="23"/>
        <v>981.88427472616172</v>
      </c>
      <c r="X27" s="30">
        <f t="shared" ca="1" si="23"/>
        <v>896.58216235826012</v>
      </c>
      <c r="Y27" s="30">
        <f t="shared" ca="1" si="23"/>
        <v>1279.8856473684207</v>
      </c>
      <c r="Z27" s="30">
        <f t="shared" ca="1" si="23"/>
        <v>1010.689803475811</v>
      </c>
      <c r="AA27" s="30">
        <f t="shared" ca="1" si="23"/>
        <v>1042.0406461586804</v>
      </c>
      <c r="AB27" s="30">
        <f t="shared" ca="1" si="23"/>
        <v>1107.8093287290367</v>
      </c>
      <c r="AC27" s="30">
        <f t="shared" ca="1" si="23"/>
        <v>1073.7856678134406</v>
      </c>
      <c r="AD27" s="30">
        <f t="shared" ca="1" si="23"/>
        <v>996.7543355972897</v>
      </c>
      <c r="AE27" s="30">
        <f t="shared" ca="1" si="23"/>
        <v>913.4089521793951</v>
      </c>
      <c r="AF27" s="30">
        <f t="shared" ca="1" si="23"/>
        <v>893.98766840036978</v>
      </c>
      <c r="AG27" s="30">
        <f t="shared" ca="1" si="23"/>
        <v>862.0793195832232</v>
      </c>
      <c r="AH27" s="30">
        <f t="shared" ca="1" si="23"/>
        <v>976.71243075949837</v>
      </c>
      <c r="AJ27" s="30">
        <f t="shared" ref="AJ27:AW27" ca="1" si="24">SUBTOTAL(109,AJ19:AJ26)</f>
        <v>2329.6008396559882</v>
      </c>
      <c r="AK27" s="30">
        <f t="shared" ca="1" si="24"/>
        <v>1997.3780928214585</v>
      </c>
      <c r="AL27" s="30">
        <f t="shared" ca="1" si="24"/>
        <v>2427.0666593536739</v>
      </c>
      <c r="AM27" s="31">
        <f t="shared" ca="1" si="24"/>
        <v>2360.3240290603458</v>
      </c>
      <c r="AN27" s="30">
        <f t="shared" ca="1" si="24"/>
        <v>2316.5162878622564</v>
      </c>
      <c r="AO27" s="30">
        <f t="shared" ca="1" si="24"/>
        <v>2117.7250907096532</v>
      </c>
      <c r="AP27" s="30">
        <f t="shared" ca="1" si="24"/>
        <v>2627.9967366553069</v>
      </c>
      <c r="AQ27" s="30">
        <f t="shared" ca="1" si="24"/>
        <v>2503.7946484099402</v>
      </c>
      <c r="AR27" s="30">
        <f t="shared" ca="1" si="24"/>
        <v>2434.1097188097256</v>
      </c>
      <c r="AS27" s="30">
        <f t="shared" ca="1" si="24"/>
        <v>2194.5116292026933</v>
      </c>
      <c r="AU27" s="30">
        <f t="shared" ca="1" si="24"/>
        <v>4326.9789324774465</v>
      </c>
      <c r="AV27" s="30">
        <f t="shared" ca="1" si="24"/>
        <v>9221.6320669859306</v>
      </c>
      <c r="AW27" s="30">
        <f t="shared" ca="1" si="24"/>
        <v>9760.4127330776646</v>
      </c>
    </row>
    <row r="28" spans="1:49" x14ac:dyDescent="0.2">
      <c r="C28" t="s">
        <v>28</v>
      </c>
      <c r="E28" s="24">
        <f>E175</f>
        <v>20.029275765633791</v>
      </c>
      <c r="F28" s="24">
        <f t="shared" ref="F28:AH28" si="25">F175</f>
        <v>20.029275765633791</v>
      </c>
      <c r="G28" s="24">
        <f t="shared" si="25"/>
        <v>20.856150765633792</v>
      </c>
      <c r="H28" s="24">
        <f t="shared" si="25"/>
        <v>20.856150765633792</v>
      </c>
      <c r="I28" s="24">
        <f t="shared" si="25"/>
        <v>20.856150765633792</v>
      </c>
      <c r="J28" s="24">
        <f t="shared" si="25"/>
        <v>24.39781743230046</v>
      </c>
      <c r="K28" s="24">
        <f t="shared" si="25"/>
        <v>19.065109098967124</v>
      </c>
      <c r="L28" s="24">
        <f t="shared" si="25"/>
        <v>19.065109098967124</v>
      </c>
      <c r="M28" s="24">
        <f t="shared" si="25"/>
        <v>19.065109098967124</v>
      </c>
      <c r="N28" s="24">
        <f t="shared" si="25"/>
        <v>19.065109098967124</v>
      </c>
      <c r="O28" s="24">
        <f t="shared" si="25"/>
        <v>19.065109098967124</v>
      </c>
      <c r="P28" s="24">
        <f t="shared" si="25"/>
        <v>19.117609098967126</v>
      </c>
      <c r="Q28" s="24">
        <f t="shared" si="25"/>
        <v>19.117609098967126</v>
      </c>
      <c r="R28" s="24">
        <f t="shared" si="25"/>
        <v>19.117609098967126</v>
      </c>
      <c r="S28" s="24">
        <f t="shared" si="25"/>
        <v>19.117609098967126</v>
      </c>
      <c r="T28" s="24">
        <f t="shared" si="25"/>
        <v>19.117609098967126</v>
      </c>
      <c r="U28" s="24">
        <f t="shared" si="25"/>
        <v>19.117609098967126</v>
      </c>
      <c r="V28" s="24">
        <f t="shared" si="25"/>
        <v>19.117609098967126</v>
      </c>
      <c r="W28" s="24">
        <f t="shared" si="25"/>
        <v>19.117609098967126</v>
      </c>
      <c r="X28" s="24">
        <f t="shared" si="25"/>
        <v>19.117609098967126</v>
      </c>
      <c r="Y28" s="24">
        <f t="shared" si="25"/>
        <v>19.117609098967126</v>
      </c>
      <c r="Z28" s="24">
        <f t="shared" si="25"/>
        <v>19.117609098967126</v>
      </c>
      <c r="AA28" s="24">
        <f t="shared" si="25"/>
        <v>19.117609098967126</v>
      </c>
      <c r="AB28" s="24">
        <f t="shared" si="25"/>
        <v>19.117609098967126</v>
      </c>
      <c r="AC28" s="24">
        <f t="shared" si="25"/>
        <v>19.117609098967126</v>
      </c>
      <c r="AD28" s="24">
        <f t="shared" si="25"/>
        <v>19.117609098967126</v>
      </c>
      <c r="AE28" s="24">
        <f t="shared" si="25"/>
        <v>19.117609098967126</v>
      </c>
      <c r="AF28" s="24">
        <f t="shared" si="25"/>
        <v>19.117609098967126</v>
      </c>
      <c r="AG28" s="24">
        <f t="shared" si="25"/>
        <v>19.117609098967126</v>
      </c>
      <c r="AH28" s="24">
        <f t="shared" si="25"/>
        <v>19.117609098967126</v>
      </c>
      <c r="AJ28" s="22" cm="1">
        <f t="array" aca="1" ref="AJ28" ca="1">SUMPRODUCT(($E28:$AH28)*(AJ$3&amp;AJ$4&amp;AJ$5&amp;AJ$6=$E$3:$AH$3&amp;$E$4:$AH$4&amp;$E$5:$AH$5&amp;$E$6:$AH$6))</f>
        <v>60.914702296901375</v>
      </c>
      <c r="AK28" s="22" cm="1">
        <f t="array" aca="1" ref="AK28" ca="1">SUMPRODUCT(($E28:$AH28)*(AK$3=$E$3:$AH$3)*(AK$4=$E$4:$AH$4)*(AK$5=$E$5:$AH$5)*(AK$6=$E$6:$AH$6))</f>
        <v>66.110118963568041</v>
      </c>
      <c r="AL28" s="22" cm="1">
        <f t="array" aca="1" ref="AL28" ca="1">SUMPRODUCT(($E28:$AH28)*(AL$3=$E$3:$AH$3)*(AL$4=$E$4:$AH$4)*(AL$5=$E$5:$AH$5)*(AL$6=$E$6:$AH$6))</f>
        <v>57.195327296901368</v>
      </c>
      <c r="AM28" s="23" cm="1">
        <f t="array" aca="1" ref="AM28" ca="1">SUMPRODUCT(($E28:$AH28)*(AM$3=$E$3:$AH$3)*(AM$4=$E$4:$AH$4)*(AM$5=$E$5:$AH$5)*(AM$6=$E$6:$AH$6))</f>
        <v>57.247827296901377</v>
      </c>
      <c r="AN28" s="22" cm="1">
        <f t="array" aca="1" ref="AN28" ca="1">SUMPRODUCT(($E28:$AH28)*(AN$3=$E$3:$AH$3)*(AN$4=$E$4:$AH$4)*(AN$5=$E$5:$AH$5)*(AN$6=$E$6:$AH$6))</f>
        <v>57.352827296901381</v>
      </c>
      <c r="AO28" s="22" cm="1">
        <f t="array" aca="1" ref="AO28" ca="1">SUMPRODUCT(($E28:$AH28)*(AO$3=$E$3:$AH$3)*(AO$4=$E$4:$AH$4)*(AO$5=$E$5:$AH$5)*(AO$6=$E$6:$AH$6))</f>
        <v>57.352827296901381</v>
      </c>
      <c r="AP28" s="22" cm="1">
        <f t="array" aca="1" ref="AP28" ca="1">SUMPRODUCT(($E28:$AH28)*(AP$3=$E$3:$AH$3)*(AP$4=$E$4:$AH$4)*(AP$5=$E$5:$AH$5)*(AP$6=$E$6:$AH$6))</f>
        <v>57.352827296901381</v>
      </c>
      <c r="AQ28" s="22" cm="1">
        <f t="array" aca="1" ref="AQ28" ca="1">SUMPRODUCT(($E28:$AH28)*(AQ$3=$E$3:$AH$3)*(AQ$4=$E$4:$AH$4)*(AQ$5=$E$5:$AH$5)*(AQ$6=$E$6:$AH$6))</f>
        <v>57.352827296901381</v>
      </c>
      <c r="AR28" s="22" cm="1">
        <f t="array" aca="1" ref="AR28" ca="1">SUMPRODUCT(($E28:$AH28)*(AR$3=$E$3:$AH$3)*(AR$4=$E$4:$AH$4)*(AR$5=$E$5:$AH$5)*(AR$6=$E$6:$AH$6))</f>
        <v>57.352827296901381</v>
      </c>
      <c r="AS28" s="22" cm="1">
        <f t="array" aca="1" ref="AS28" ca="1">SUMPRODUCT(($E28:$AH28)*(AS$3=$E$3:$AH$3)*(AS$4=$E$4:$AH$4)*(AS$5=$E$5:$AH$5)*(AS$6=$E$6:$AH$6))</f>
        <v>57.352827296901381</v>
      </c>
      <c r="AU28" s="22" cm="1">
        <f t="array" aca="1" ref="AU28" ca="1">SUMPRODUCT(($E28:$AH28)*(AU$5=$E$5:$AH$5))</f>
        <v>127.02482126046942</v>
      </c>
      <c r="AV28" s="22" cm="1">
        <f t="array" aca="1" ref="AV28" ca="1">SUMPRODUCT(($E28:$AH28)*(AV$5=$E$5:$AH$5))</f>
        <v>229.14880918760556</v>
      </c>
      <c r="AW28" s="22" cm="1">
        <f t="array" aca="1" ref="AW28" ca="1">SUMPRODUCT(($E28:$AH28)*(AW$5=$E$5:$AH$5))</f>
        <v>229.41130918760555</v>
      </c>
    </row>
    <row r="29" spans="1:49" x14ac:dyDescent="0.2">
      <c r="C29" t="s">
        <v>29</v>
      </c>
      <c r="E29" s="24">
        <f>E180</f>
        <v>7.7421516354157198</v>
      </c>
      <c r="F29" s="24">
        <f t="shared" ref="F29:AH29" si="26">F180</f>
        <v>-21.963393407128883</v>
      </c>
      <c r="G29" s="24">
        <f t="shared" si="26"/>
        <v>-5.7711994128083015</v>
      </c>
      <c r="H29" s="24">
        <f t="shared" si="26"/>
        <v>7.1737120765139561</v>
      </c>
      <c r="I29" s="24">
        <f t="shared" si="26"/>
        <v>15.405349451822646</v>
      </c>
      <c r="J29" s="24">
        <f t="shared" si="26"/>
        <v>62.586579612999735</v>
      </c>
      <c r="K29" s="24">
        <f t="shared" si="26"/>
        <v>14.52854240424319</v>
      </c>
      <c r="L29" s="24">
        <f t="shared" si="26"/>
        <v>5.407872102788402</v>
      </c>
      <c r="M29" s="24">
        <f t="shared" si="26"/>
        <v>-72.079688395221268</v>
      </c>
      <c r="N29" s="24">
        <f t="shared" si="26"/>
        <v>56.773908354049304</v>
      </c>
      <c r="O29" s="24">
        <f t="shared" si="26"/>
        <v>36.826816824970841</v>
      </c>
      <c r="P29" s="24">
        <f t="shared" si="26"/>
        <v>32.056646284226957</v>
      </c>
      <c r="Q29" s="24">
        <f t="shared" si="26"/>
        <v>21.58499303568021</v>
      </c>
      <c r="R29" s="24">
        <f t="shared" si="26"/>
        <v>-8.2866705843963633</v>
      </c>
      <c r="S29" s="24">
        <f t="shared" si="26"/>
        <v>-4.0166065763790026</v>
      </c>
      <c r="T29" s="24">
        <f t="shared" si="26"/>
        <v>4.0778734873360101</v>
      </c>
      <c r="U29" s="24">
        <f t="shared" si="26"/>
        <v>14.369603096713893</v>
      </c>
      <c r="V29" s="24">
        <f t="shared" si="26"/>
        <v>51.703960431934661</v>
      </c>
      <c r="W29" s="24">
        <f t="shared" si="26"/>
        <v>12.284393359800481</v>
      </c>
      <c r="X29" s="24">
        <f t="shared" si="26"/>
        <v>-0.77886972860836157</v>
      </c>
      <c r="Y29" s="24">
        <f t="shared" si="26"/>
        <v>-78.352511585961579</v>
      </c>
      <c r="Z29" s="24">
        <f t="shared" si="26"/>
        <v>54.291956728506747</v>
      </c>
      <c r="AA29" s="24">
        <f t="shared" si="26"/>
        <v>30.950433497367548</v>
      </c>
      <c r="AB29" s="24">
        <f t="shared" si="26"/>
        <v>39.661160734609318</v>
      </c>
      <c r="AC29" s="24">
        <f t="shared" si="26"/>
        <v>20.019197706304155</v>
      </c>
      <c r="AD29" s="24">
        <f t="shared" si="26"/>
        <v>-9.4848917467789899</v>
      </c>
      <c r="AE29" s="24">
        <f t="shared" si="26"/>
        <v>-1.429432158424033</v>
      </c>
      <c r="AF29" s="24">
        <f t="shared" si="26"/>
        <v>6.2809290417376173</v>
      </c>
      <c r="AG29" s="24">
        <f t="shared" si="26"/>
        <v>17.011676086441497</v>
      </c>
      <c r="AH29" s="24">
        <f t="shared" si="26"/>
        <v>56.370665549365306</v>
      </c>
      <c r="AJ29" s="22" cm="1">
        <f t="array" aca="1" ref="AJ29" ca="1">SUMPRODUCT(($E29:$AH29)*(AJ$3&amp;AJ$4&amp;AJ$5&amp;AJ$6=$E$3:$AH$3&amp;$E$4:$AH$4&amp;$E$5:$AH$5&amp;$E$6:$AH$6))</f>
        <v>-19.992441184521464</v>
      </c>
      <c r="AK29" s="22" cm="1">
        <f t="array" aca="1" ref="AK29" ca="1">SUMPRODUCT(($E29:$AH29)*(AK$3=$E$3:$AH$3)*(AK$4=$E$4:$AH$4)*(AK$5=$E$5:$AH$5)*(AK$6=$E$6:$AH$6))</f>
        <v>85.165641141336337</v>
      </c>
      <c r="AL29" s="22" cm="1">
        <f t="array" aca="1" ref="AL29" ca="1">SUMPRODUCT(($E29:$AH29)*(AL$3=$E$3:$AH$3)*(AL$4=$E$4:$AH$4)*(AL$5=$E$5:$AH$5)*(AL$6=$E$6:$AH$6))</f>
        <v>-52.143273888189675</v>
      </c>
      <c r="AM29" s="23" cm="1">
        <f t="array" aca="1" ref="AM29" ca="1">SUMPRODUCT(($E29:$AH29)*(AM$3=$E$3:$AH$3)*(AM$4=$E$4:$AH$4)*(AM$5=$E$5:$AH$5)*(AM$6=$E$6:$AH$6))</f>
        <v>125.6573714632471</v>
      </c>
      <c r="AN29" s="22" cm="1">
        <f t="array" aca="1" ref="AN29" ca="1">SUMPRODUCT(($E29:$AH29)*(AN$3=$E$3:$AH$3)*(AN$4=$E$4:$AH$4)*(AN$5=$E$5:$AH$5)*(AN$6=$E$6:$AH$6))</f>
        <v>9.2817158749048438</v>
      </c>
      <c r="AO29" s="22" cm="1">
        <f t="array" aca="1" ref="AO29" ca="1">SUMPRODUCT(($E29:$AH29)*(AO$3=$E$3:$AH$3)*(AO$4=$E$4:$AH$4)*(AO$5=$E$5:$AH$5)*(AO$6=$E$6:$AH$6))</f>
        <v>70.151437015984556</v>
      </c>
      <c r="AP29" s="22" cm="1">
        <f t="array" aca="1" ref="AP29" ca="1">SUMPRODUCT(($E29:$AH29)*(AP$3=$E$3:$AH$3)*(AP$4=$E$4:$AH$4)*(AP$5=$E$5:$AH$5)*(AP$6=$E$6:$AH$6))</f>
        <v>-66.84698795476946</v>
      </c>
      <c r="AQ29" s="22" cm="1">
        <f t="array" aca="1" ref="AQ29" ca="1">SUMPRODUCT(($E29:$AH29)*(AQ$3=$E$3:$AH$3)*(AQ$4=$E$4:$AH$4)*(AQ$5=$E$5:$AH$5)*(AQ$6=$E$6:$AH$6))</f>
        <v>124.90355096048361</v>
      </c>
      <c r="AR29" s="22" cm="1">
        <f t="array" aca="1" ref="AR29" ca="1">SUMPRODUCT(($E29:$AH29)*(AR$3=$E$3:$AH$3)*(AR$4=$E$4:$AH$4)*(AR$5=$E$5:$AH$5)*(AR$6=$E$6:$AH$6))</f>
        <v>9.1048738011011316</v>
      </c>
      <c r="AS29" s="22" cm="1">
        <f t="array" aca="1" ref="AS29" ca="1">SUMPRODUCT(($E29:$AH29)*(AS$3=$E$3:$AH$3)*(AS$4=$E$4:$AH$4)*(AS$5=$E$5:$AH$5)*(AS$6=$E$6:$AH$6))</f>
        <v>79.663270677544418</v>
      </c>
      <c r="AU29" s="22" cm="1">
        <f t="array" aca="1" ref="AU29" ca="1">SUMPRODUCT(($E29:$AH29)*(AU$5=$E$5:$AH$5))</f>
        <v>65.173199956814869</v>
      </c>
      <c r="AV29" s="22" cm="1">
        <f t="array" aca="1" ref="AV29" ca="1">SUMPRODUCT(($E29:$AH29)*(AV$5=$E$5:$AH$5))</f>
        <v>152.94725046594684</v>
      </c>
      <c r="AW29" s="22" cm="1">
        <f t="array" aca="1" ref="AW29" ca="1">SUMPRODUCT(($E29:$AH29)*(AW$5=$E$5:$AH$5))</f>
        <v>146.82470748435972</v>
      </c>
    </row>
    <row r="30" spans="1:49" ht="16" thickBot="1" x14ac:dyDescent="0.25">
      <c r="B30" t="s">
        <v>12</v>
      </c>
      <c r="C30" s="34" t="s">
        <v>30</v>
      </c>
      <c r="D30" s="35"/>
      <c r="E30" s="36">
        <f ca="1">SUM(E27:E29)</f>
        <v>1050.2737856114989</v>
      </c>
      <c r="F30" s="36">
        <f t="shared" ref="F30:AH30" ca="1" si="27">SUM(F27:F29)</f>
        <v>945.13847584335701</v>
      </c>
      <c r="G30" s="36">
        <f t="shared" ca="1" si="27"/>
        <v>861.53087602745484</v>
      </c>
      <c r="H30" s="36">
        <f t="shared" ca="1" si="27"/>
        <v>832.32449398418623</v>
      </c>
      <c r="I30" s="36">
        <f t="shared" ca="1" si="27"/>
        <v>812.86883054559758</v>
      </c>
      <c r="J30" s="36">
        <f t="shared" ca="1" si="27"/>
        <v>971.10387956737429</v>
      </c>
      <c r="K30" s="36">
        <f t="shared" ca="1" si="27"/>
        <v>947.06806979240173</v>
      </c>
      <c r="L30" s="36">
        <f t="shared" ca="1" si="27"/>
        <v>854.3027928449078</v>
      </c>
      <c r="M30" s="36">
        <f t="shared" ca="1" si="27"/>
        <v>1146.5289400693684</v>
      </c>
      <c r="N30" s="36">
        <f t="shared" ca="1" si="27"/>
        <v>986.43941765934017</v>
      </c>
      <c r="O30" s="36">
        <f t="shared" ca="1" si="27"/>
        <v>1047.3550965743409</v>
      </c>
      <c r="P30" s="36">
        <f t="shared" ca="1" si="27"/>
        <v>1132.2595690866453</v>
      </c>
      <c r="Q30" s="36">
        <f t="shared" ca="1" si="27"/>
        <v>1054.0988264847172</v>
      </c>
      <c r="R30" s="36">
        <f t="shared" ca="1" si="27"/>
        <v>958.16263602138895</v>
      </c>
      <c r="S30" s="36">
        <f t="shared" ca="1" si="27"/>
        <v>899.05873552806349</v>
      </c>
      <c r="T30" s="36">
        <f t="shared" ca="1" si="27"/>
        <v>884.92665385297312</v>
      </c>
      <c r="U30" s="36">
        <f t="shared" ca="1" si="27"/>
        <v>864.48932467121017</v>
      </c>
      <c r="V30" s="36">
        <f t="shared" ca="1" si="27"/>
        <v>1012.8048741635207</v>
      </c>
      <c r="W30" s="36">
        <f t="shared" ca="1" si="27"/>
        <v>1013.2862771849293</v>
      </c>
      <c r="X30" s="36">
        <f t="shared" ca="1" si="27"/>
        <v>914.9209017286189</v>
      </c>
      <c r="Y30" s="36">
        <f t="shared" ca="1" si="27"/>
        <v>1220.6507448814261</v>
      </c>
      <c r="Z30" s="36">
        <f t="shared" ca="1" si="27"/>
        <v>1084.0993693032847</v>
      </c>
      <c r="AA30" s="36">
        <f t="shared" ca="1" si="27"/>
        <v>1092.108688755015</v>
      </c>
      <c r="AB30" s="36">
        <f t="shared" ca="1" si="27"/>
        <v>1166.5880985626129</v>
      </c>
      <c r="AC30" s="36">
        <f t="shared" ca="1" si="27"/>
        <v>1112.9224746187117</v>
      </c>
      <c r="AD30" s="36">
        <f t="shared" ca="1" si="27"/>
        <v>1006.3870529494778</v>
      </c>
      <c r="AE30" s="36">
        <f t="shared" ca="1" si="27"/>
        <v>931.09712911993824</v>
      </c>
      <c r="AF30" s="36">
        <f t="shared" ca="1" si="27"/>
        <v>919.38620654107456</v>
      </c>
      <c r="AG30" s="36">
        <f t="shared" ca="1" si="27"/>
        <v>898.20860476863186</v>
      </c>
      <c r="AH30" s="36">
        <f t="shared" ca="1" si="27"/>
        <v>1052.2007054078308</v>
      </c>
      <c r="AJ30" s="36">
        <f t="shared" ref="AJ30:AW30" ca="1" si="28">SUBTOTAL(109,AJ15:AJ29)</f>
        <v>2856.9431374823112</v>
      </c>
      <c r="AK30" s="36">
        <f t="shared" ca="1" si="28"/>
        <v>2616.2972040971581</v>
      </c>
      <c r="AL30" s="36">
        <f t="shared" ca="1" si="28"/>
        <v>2947.8998027066777</v>
      </c>
      <c r="AM30" s="37">
        <f t="shared" ca="1" si="28"/>
        <v>3166.0540833203268</v>
      </c>
      <c r="AN30" s="36">
        <f t="shared" ca="1" si="28"/>
        <v>2911.3201980341701</v>
      </c>
      <c r="AO30" s="36">
        <f t="shared" ca="1" si="28"/>
        <v>2762.2208526877039</v>
      </c>
      <c r="AP30" s="36">
        <f t="shared" ca="1" si="28"/>
        <v>3148.8579237949748</v>
      </c>
      <c r="AQ30" s="36">
        <f t="shared" ca="1" si="28"/>
        <v>3342.7961566209128</v>
      </c>
      <c r="AR30" s="36">
        <f t="shared" ca="1" si="28"/>
        <v>3050.4066566881274</v>
      </c>
      <c r="AS30" s="36">
        <f t="shared" ca="1" si="28"/>
        <v>2869.7955167175369</v>
      </c>
      <c r="AU30" s="36">
        <f t="shared" ca="1" si="28"/>
        <v>5473.2403415794688</v>
      </c>
      <c r="AV30" s="36">
        <f t="shared" ca="1" si="28"/>
        <v>11787.494936748877</v>
      </c>
      <c r="AW30" s="36">
        <f t="shared" ca="1" si="28"/>
        <v>12411.856253821552</v>
      </c>
    </row>
    <row r="31" spans="1:49" ht="16" thickTop="1" x14ac:dyDescent="0.2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49" ht="19" x14ac:dyDescent="0.25">
      <c r="A32" t="s">
        <v>12</v>
      </c>
      <c r="B32" t="s">
        <v>12</v>
      </c>
      <c r="C32" s="13" t="s">
        <v>31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 spans="1:57" ht="19" x14ac:dyDescent="0.25">
      <c r="C33" s="38" t="s">
        <v>32</v>
      </c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</row>
    <row r="34" spans="1:57" x14ac:dyDescent="0.2">
      <c r="C34" s="16"/>
      <c r="D34" s="16"/>
    </row>
    <row r="35" spans="1:57" x14ac:dyDescent="0.2">
      <c r="C35" s="17" t="s">
        <v>33</v>
      </c>
      <c r="D35" s="17"/>
      <c r="E35" s="18" t="str">
        <f t="shared" ref="E35:AH35" si="29">E$9</f>
        <v>Jul-20A</v>
      </c>
      <c r="F35" s="18" t="str">
        <f t="shared" si="29"/>
        <v>Aug-20A</v>
      </c>
      <c r="G35" s="18" t="str">
        <f t="shared" si="29"/>
        <v>Sep-20A</v>
      </c>
      <c r="H35" s="18" t="str">
        <f t="shared" si="29"/>
        <v>Oct-20A</v>
      </c>
      <c r="I35" s="18" t="str">
        <f t="shared" si="29"/>
        <v>Nov-20A</v>
      </c>
      <c r="J35" s="18" t="str">
        <f t="shared" si="29"/>
        <v>Dec-20A</v>
      </c>
      <c r="K35" s="18" t="str">
        <f t="shared" si="29"/>
        <v>Jan-21A</v>
      </c>
      <c r="L35" s="18" t="str">
        <f t="shared" si="29"/>
        <v>Feb-21A</v>
      </c>
      <c r="M35" s="18" t="str">
        <f t="shared" si="29"/>
        <v>Mar-21A</v>
      </c>
      <c r="N35" s="18" t="str">
        <f t="shared" si="29"/>
        <v>Apr-21A</v>
      </c>
      <c r="O35" s="18" t="str">
        <f t="shared" si="29"/>
        <v>May-21A</v>
      </c>
      <c r="P35" s="19" t="str">
        <f t="shared" si="29"/>
        <v>Jun-21A</v>
      </c>
      <c r="Q35" s="18" t="str">
        <f t="shared" si="29"/>
        <v>Jul-21F</v>
      </c>
      <c r="R35" s="18" t="str">
        <f t="shared" si="29"/>
        <v>Aug-21F</v>
      </c>
      <c r="S35" s="18" t="str">
        <f t="shared" si="29"/>
        <v>Sep-21F</v>
      </c>
      <c r="T35" s="18" t="str">
        <f t="shared" si="29"/>
        <v>Oct-21F</v>
      </c>
      <c r="U35" s="18" t="str">
        <f t="shared" si="29"/>
        <v>Nov-21F</v>
      </c>
      <c r="V35" s="18" t="str">
        <f t="shared" si="29"/>
        <v>Dec-21F</v>
      </c>
      <c r="W35" s="18" t="str">
        <f t="shared" si="29"/>
        <v>Jan-22F</v>
      </c>
      <c r="X35" s="18" t="str">
        <f t="shared" si="29"/>
        <v>Feb-22F</v>
      </c>
      <c r="Y35" s="18" t="str">
        <f t="shared" si="29"/>
        <v>Mar-22F</v>
      </c>
      <c r="Z35" s="18" t="str">
        <f t="shared" si="29"/>
        <v>Apr-22F</v>
      </c>
      <c r="AA35" s="18" t="str">
        <f t="shared" si="29"/>
        <v>May-22F</v>
      </c>
      <c r="AB35" s="18" t="str">
        <f t="shared" si="29"/>
        <v>Jun-22F</v>
      </c>
      <c r="AC35" s="18" t="str">
        <f t="shared" si="29"/>
        <v>Jul-22F</v>
      </c>
      <c r="AD35" s="18" t="str">
        <f t="shared" si="29"/>
        <v>Aug-22F</v>
      </c>
      <c r="AE35" s="18" t="str">
        <f t="shared" si="29"/>
        <v>Sep-22F</v>
      </c>
      <c r="AF35" s="18" t="str">
        <f t="shared" si="29"/>
        <v>Oct-22F</v>
      </c>
      <c r="AG35" s="18" t="str">
        <f t="shared" si="29"/>
        <v>Nov-22F</v>
      </c>
      <c r="AH35" s="18" t="str">
        <f t="shared" si="29"/>
        <v>Dec-22F</v>
      </c>
      <c r="AJ35" s="18" t="str">
        <f ca="1">AJ$10</f>
        <v>Q3'20A</v>
      </c>
      <c r="AK35" s="18" t="str">
        <f t="shared" ref="AK35:AW35" ca="1" si="30">AK$10</f>
        <v>Q4'20A</v>
      </c>
      <c r="AL35" s="18" t="str">
        <f t="shared" ca="1" si="30"/>
        <v>Q1'21A</v>
      </c>
      <c r="AM35" s="19" t="str">
        <f t="shared" ca="1" si="30"/>
        <v>Q2'21A</v>
      </c>
      <c r="AN35" s="18" t="str">
        <f t="shared" ca="1" si="30"/>
        <v>Q3'21F</v>
      </c>
      <c r="AO35" s="18" t="str">
        <f t="shared" ca="1" si="30"/>
        <v>Q4'21F</v>
      </c>
      <c r="AP35" s="18" t="str">
        <f t="shared" ca="1" si="30"/>
        <v>Q1'22F</v>
      </c>
      <c r="AQ35" s="18" t="str">
        <f t="shared" ca="1" si="30"/>
        <v>Q2'22F</v>
      </c>
      <c r="AR35" s="18" t="str">
        <f t="shared" ca="1" si="30"/>
        <v>Q3'22F</v>
      </c>
      <c r="AS35" s="18" t="str">
        <f t="shared" ca="1" si="30"/>
        <v>Q4'22F</v>
      </c>
      <c r="AU35" s="18" t="str">
        <f t="shared" ca="1" si="30"/>
        <v>FY20</v>
      </c>
      <c r="AV35" s="18" t="str">
        <f t="shared" ca="1" si="30"/>
        <v>FY21</v>
      </c>
      <c r="AW35" s="18" t="str">
        <f t="shared" ca="1" si="30"/>
        <v>FY22</v>
      </c>
    </row>
    <row r="36" spans="1:57" x14ac:dyDescent="0.2">
      <c r="C36" s="20" t="s">
        <v>34</v>
      </c>
      <c r="D36" s="20"/>
      <c r="E36" s="41">
        <v>1.5</v>
      </c>
      <c r="F36" s="41">
        <v>1.5</v>
      </c>
      <c r="G36" s="41">
        <v>1.5</v>
      </c>
      <c r="H36" s="41">
        <v>1.5</v>
      </c>
      <c r="I36" s="41">
        <v>1.5</v>
      </c>
      <c r="J36" s="41">
        <v>1.5</v>
      </c>
      <c r="K36" s="41">
        <v>1.5</v>
      </c>
      <c r="L36" s="41">
        <v>1.5</v>
      </c>
      <c r="M36" s="41">
        <v>1.5</v>
      </c>
      <c r="N36" s="41">
        <v>1.5</v>
      </c>
      <c r="O36" s="41">
        <v>1.5</v>
      </c>
      <c r="P36" s="42">
        <v>1.5</v>
      </c>
      <c r="Q36" s="43">
        <f>P36</f>
        <v>1.5</v>
      </c>
      <c r="R36" s="43">
        <f t="shared" ref="R36:V36" si="31">Q36</f>
        <v>1.5</v>
      </c>
      <c r="S36" s="43">
        <f t="shared" si="31"/>
        <v>1.5</v>
      </c>
      <c r="T36" s="43">
        <f t="shared" si="31"/>
        <v>1.5</v>
      </c>
      <c r="U36" s="43">
        <f t="shared" si="31"/>
        <v>1.5</v>
      </c>
      <c r="V36" s="43">
        <f t="shared" si="31"/>
        <v>1.5</v>
      </c>
      <c r="W36" s="44">
        <v>1.8</v>
      </c>
      <c r="X36" s="22">
        <f t="shared" ref="X36:AH36" si="32">W36</f>
        <v>1.8</v>
      </c>
      <c r="Y36" s="22">
        <f t="shared" si="32"/>
        <v>1.8</v>
      </c>
      <c r="Z36" s="22">
        <f t="shared" si="32"/>
        <v>1.8</v>
      </c>
      <c r="AA36" s="22">
        <f t="shared" si="32"/>
        <v>1.8</v>
      </c>
      <c r="AB36" s="22">
        <f t="shared" si="32"/>
        <v>1.8</v>
      </c>
      <c r="AC36" s="22">
        <f t="shared" si="32"/>
        <v>1.8</v>
      </c>
      <c r="AD36" s="22">
        <f t="shared" si="32"/>
        <v>1.8</v>
      </c>
      <c r="AE36" s="22">
        <f t="shared" si="32"/>
        <v>1.8</v>
      </c>
      <c r="AF36" s="22">
        <f t="shared" si="32"/>
        <v>1.8</v>
      </c>
      <c r="AG36" s="22">
        <f t="shared" si="32"/>
        <v>1.8</v>
      </c>
      <c r="AH36" s="22">
        <f t="shared" si="32"/>
        <v>1.8</v>
      </c>
      <c r="AJ36" s="22" cm="1">
        <f t="array" aca="1" ref="AJ36" ca="1">SUMPRODUCT(($E36:$AH36)*(AJ$3&amp;AJ$4&amp;AJ$5&amp;AJ$6=$E$3:$AH$3&amp;$E$4:$AH$4&amp;$E$5:$AH$5&amp;$E$6:$AH$6))</f>
        <v>4.5</v>
      </c>
      <c r="AK36" s="22" cm="1">
        <f t="array" aca="1" ref="AK36" ca="1">SUMPRODUCT(($E36:$AH36)*(AK$3=$E$3:$AH$3)*(AK$4=$E$4:$AH$4)*(AK$5=$E$5:$AH$5)*(AK$6=$E$6:$AH$6))</f>
        <v>4.5</v>
      </c>
      <c r="AL36" s="22" cm="1">
        <f t="array" aca="1" ref="AL36" ca="1">SUMPRODUCT(($E36:$AH36)*(AL$3=$E$3:$AH$3)*(AL$4=$E$4:$AH$4)*(AL$5=$E$5:$AH$5)*(AL$6=$E$6:$AH$6))</f>
        <v>4.5</v>
      </c>
      <c r="AM36" s="23" cm="1">
        <f t="array" aca="1" ref="AM36" ca="1">SUMPRODUCT(($E36:$AH36)*(AM$3=$E$3:$AH$3)*(AM$4=$E$4:$AH$4)*(AM$5=$E$5:$AH$5)*(AM$6=$E$6:$AH$6))</f>
        <v>4.5</v>
      </c>
      <c r="AN36" s="22" cm="1">
        <f t="array" aca="1" ref="AN36" ca="1">SUMPRODUCT(($E36:$AH36)*(AN$3=$E$3:$AH$3)*(AN$4=$E$4:$AH$4)*(AN$5=$E$5:$AH$5)*(AN$6=$E$6:$AH$6))</f>
        <v>4.5</v>
      </c>
      <c r="AO36" s="22" cm="1">
        <f t="array" aca="1" ref="AO36" ca="1">SUMPRODUCT(($E36:$AH36)*(AO$3=$E$3:$AH$3)*(AO$4=$E$4:$AH$4)*(AO$5=$E$5:$AH$5)*(AO$6=$E$6:$AH$6))</f>
        <v>4.5</v>
      </c>
      <c r="AP36" s="22" cm="1">
        <f t="array" aca="1" ref="AP36" ca="1">SUMPRODUCT(($E36:$AH36)*(AP$3=$E$3:$AH$3)*(AP$4=$E$4:$AH$4)*(AP$5=$E$5:$AH$5)*(AP$6=$E$6:$AH$6))</f>
        <v>5.4</v>
      </c>
      <c r="AQ36" s="22" cm="1">
        <f t="array" aca="1" ref="AQ36" ca="1">SUMPRODUCT(($E36:$AH36)*(AQ$3=$E$3:$AH$3)*(AQ$4=$E$4:$AH$4)*(AQ$5=$E$5:$AH$5)*(AQ$6=$E$6:$AH$6))</f>
        <v>5.4</v>
      </c>
      <c r="AR36" s="22" cm="1">
        <f t="array" aca="1" ref="AR36" ca="1">SUMPRODUCT(($E36:$AH36)*(AR$3=$E$3:$AH$3)*(AR$4=$E$4:$AH$4)*(AR$5=$E$5:$AH$5)*(AR$6=$E$6:$AH$6))</f>
        <v>5.4</v>
      </c>
      <c r="AS36" s="22" cm="1">
        <f t="array" aca="1" ref="AS36" ca="1">SUMPRODUCT(($E36:$AH36)*(AS$3=$E$3:$AH$3)*(AS$4=$E$4:$AH$4)*(AS$5=$E$5:$AH$5)*(AS$6=$E$6:$AH$6))</f>
        <v>5.4</v>
      </c>
      <c r="AT36" s="22"/>
      <c r="AU36" s="22" cm="1">
        <f t="array" aca="1" ref="AU36" ca="1">SUMPRODUCT(($E36:$AH36)*(AU$5=$E$5:$AH$5))</f>
        <v>9</v>
      </c>
      <c r="AV36" s="22" cm="1">
        <f t="array" aca="1" ref="AV36" ca="1">SUMPRODUCT(($E36:$AH36)*(AV$5=$E$5:$AH$5))</f>
        <v>18</v>
      </c>
      <c r="AW36" s="22" cm="1">
        <f t="array" aca="1" ref="AW36" ca="1">SUMPRODUCT(($E36:$AH36)*(AW$5=$E$5:$AH$5))</f>
        <v>21.600000000000005</v>
      </c>
      <c r="AY36" s="16" t="s">
        <v>35</v>
      </c>
      <c r="AZ36" s="16"/>
      <c r="BA36" s="16"/>
      <c r="BB36" s="16"/>
      <c r="BC36" s="16"/>
      <c r="BD36" s="16"/>
      <c r="BE36" s="16"/>
    </row>
    <row r="37" spans="1:57" x14ac:dyDescent="0.2">
      <c r="C37" s="20" t="s">
        <v>36</v>
      </c>
      <c r="D37" s="20"/>
      <c r="E37" s="41">
        <v>2.5</v>
      </c>
      <c r="F37" s="41">
        <v>2.5</v>
      </c>
      <c r="G37" s="41">
        <v>2.5</v>
      </c>
      <c r="H37" s="41">
        <v>2.5</v>
      </c>
      <c r="I37" s="41">
        <v>2.5</v>
      </c>
      <c r="J37" s="41">
        <v>2.5</v>
      </c>
      <c r="K37" s="41">
        <v>2.5</v>
      </c>
      <c r="L37" s="41">
        <v>2.5</v>
      </c>
      <c r="M37" s="41">
        <v>2.5</v>
      </c>
      <c r="N37" s="41">
        <v>2.5</v>
      </c>
      <c r="O37" s="41">
        <v>2.5</v>
      </c>
      <c r="P37" s="42">
        <v>2.5</v>
      </c>
      <c r="Q37" s="43">
        <f t="shared" ref="Q37:AH39" si="33">P37</f>
        <v>2.5</v>
      </c>
      <c r="R37" s="43">
        <f t="shared" si="33"/>
        <v>2.5</v>
      </c>
      <c r="S37" s="43">
        <f t="shared" si="33"/>
        <v>2.5</v>
      </c>
      <c r="T37" s="43">
        <f t="shared" si="33"/>
        <v>2.5</v>
      </c>
      <c r="U37" s="43">
        <f t="shared" si="33"/>
        <v>2.5</v>
      </c>
      <c r="V37" s="43">
        <f t="shared" si="33"/>
        <v>2.5</v>
      </c>
      <c r="W37" s="44">
        <v>2.8</v>
      </c>
      <c r="X37" s="22">
        <f t="shared" si="33"/>
        <v>2.8</v>
      </c>
      <c r="Y37" s="22">
        <f t="shared" si="33"/>
        <v>2.8</v>
      </c>
      <c r="Z37" s="22">
        <f t="shared" si="33"/>
        <v>2.8</v>
      </c>
      <c r="AA37" s="22">
        <f t="shared" si="33"/>
        <v>2.8</v>
      </c>
      <c r="AB37" s="22">
        <f t="shared" si="33"/>
        <v>2.8</v>
      </c>
      <c r="AC37" s="22">
        <f t="shared" si="33"/>
        <v>2.8</v>
      </c>
      <c r="AD37" s="22">
        <f t="shared" si="33"/>
        <v>2.8</v>
      </c>
      <c r="AE37" s="22">
        <f t="shared" si="33"/>
        <v>2.8</v>
      </c>
      <c r="AF37" s="22">
        <f t="shared" si="33"/>
        <v>2.8</v>
      </c>
      <c r="AG37" s="22">
        <f t="shared" si="33"/>
        <v>2.8</v>
      </c>
      <c r="AH37" s="22">
        <f t="shared" si="33"/>
        <v>2.8</v>
      </c>
      <c r="AJ37" s="22" cm="1">
        <f t="array" aca="1" ref="AJ37" ca="1">SUMPRODUCT(($E37:$AH37)*(AJ$3&amp;AJ$4&amp;AJ$5&amp;AJ$6=$E$3:$AH$3&amp;$E$4:$AH$4&amp;$E$5:$AH$5&amp;$E$6:$AH$6))</f>
        <v>7.5</v>
      </c>
      <c r="AK37" s="22" cm="1">
        <f t="array" aca="1" ref="AK37" ca="1">SUMPRODUCT(($E37:$AH37)*(AK$3=$E$3:$AH$3)*(AK$4=$E$4:$AH$4)*(AK$5=$E$5:$AH$5)*(AK$6=$E$6:$AH$6))</f>
        <v>7.5</v>
      </c>
      <c r="AL37" s="22" cm="1">
        <f t="array" aca="1" ref="AL37" ca="1">SUMPRODUCT(($E37:$AH37)*(AL$3=$E$3:$AH$3)*(AL$4=$E$4:$AH$4)*(AL$5=$E$5:$AH$5)*(AL$6=$E$6:$AH$6))</f>
        <v>7.5</v>
      </c>
      <c r="AM37" s="23" cm="1">
        <f t="array" aca="1" ref="AM37" ca="1">SUMPRODUCT(($E37:$AH37)*(AM$3=$E$3:$AH$3)*(AM$4=$E$4:$AH$4)*(AM$5=$E$5:$AH$5)*(AM$6=$E$6:$AH$6))</f>
        <v>7.5</v>
      </c>
      <c r="AN37" s="22" cm="1">
        <f t="array" aca="1" ref="AN37" ca="1">SUMPRODUCT(($E37:$AH37)*(AN$3=$E$3:$AH$3)*(AN$4=$E$4:$AH$4)*(AN$5=$E$5:$AH$5)*(AN$6=$E$6:$AH$6))</f>
        <v>7.5</v>
      </c>
      <c r="AO37" s="22" cm="1">
        <f t="array" aca="1" ref="AO37" ca="1">SUMPRODUCT(($E37:$AH37)*(AO$3=$E$3:$AH$3)*(AO$4=$E$4:$AH$4)*(AO$5=$E$5:$AH$5)*(AO$6=$E$6:$AH$6))</f>
        <v>7.5</v>
      </c>
      <c r="AP37" s="22" cm="1">
        <f t="array" aca="1" ref="AP37" ca="1">SUMPRODUCT(($E37:$AH37)*(AP$3=$E$3:$AH$3)*(AP$4=$E$4:$AH$4)*(AP$5=$E$5:$AH$5)*(AP$6=$E$6:$AH$6))</f>
        <v>8.3999999999999986</v>
      </c>
      <c r="AQ37" s="22" cm="1">
        <f t="array" aca="1" ref="AQ37" ca="1">SUMPRODUCT(($E37:$AH37)*(AQ$3=$E$3:$AH$3)*(AQ$4=$E$4:$AH$4)*(AQ$5=$E$5:$AH$5)*(AQ$6=$E$6:$AH$6))</f>
        <v>8.3999999999999986</v>
      </c>
      <c r="AR37" s="22" cm="1">
        <f t="array" aca="1" ref="AR37" ca="1">SUMPRODUCT(($E37:$AH37)*(AR$3=$E$3:$AH$3)*(AR$4=$E$4:$AH$4)*(AR$5=$E$5:$AH$5)*(AR$6=$E$6:$AH$6))</f>
        <v>8.3999999999999986</v>
      </c>
      <c r="AS37" s="22" cm="1">
        <f t="array" aca="1" ref="AS37" ca="1">SUMPRODUCT(($E37:$AH37)*(AS$3=$E$3:$AH$3)*(AS$4=$E$4:$AH$4)*(AS$5=$E$5:$AH$5)*(AS$6=$E$6:$AH$6))</f>
        <v>8.3999999999999986</v>
      </c>
      <c r="AT37" s="22"/>
      <c r="AU37" s="22" cm="1">
        <f t="array" aca="1" ref="AU37" ca="1">SUMPRODUCT(($E37:$AH37)*(AU$5=$E$5:$AH$5))</f>
        <v>15</v>
      </c>
      <c r="AV37" s="22" cm="1">
        <f t="array" aca="1" ref="AV37" ca="1">SUMPRODUCT(($E37:$AH37)*(AV$5=$E$5:$AH$5))</f>
        <v>30</v>
      </c>
      <c r="AW37" s="22" cm="1">
        <f t="array" aca="1" ref="AW37" ca="1">SUMPRODUCT(($E37:$AH37)*(AW$5=$E$5:$AH$5))</f>
        <v>33.6</v>
      </c>
      <c r="AY37" s="16" t="s">
        <v>37</v>
      </c>
      <c r="AZ37" s="16"/>
      <c r="BA37" s="16"/>
      <c r="BB37" s="16"/>
      <c r="BC37" s="16"/>
      <c r="BD37" s="16"/>
      <c r="BE37" s="16"/>
    </row>
    <row r="38" spans="1:57" x14ac:dyDescent="0.2">
      <c r="C38" s="20" t="s">
        <v>38</v>
      </c>
      <c r="D38" s="20"/>
      <c r="E38" s="41">
        <v>0.5</v>
      </c>
      <c r="F38" s="41">
        <v>0.5</v>
      </c>
      <c r="G38" s="41">
        <v>0.5</v>
      </c>
      <c r="H38" s="41">
        <v>0.5</v>
      </c>
      <c r="I38" s="41">
        <v>0.5</v>
      </c>
      <c r="J38" s="41">
        <v>0.5</v>
      </c>
      <c r="K38" s="41">
        <v>0.5</v>
      </c>
      <c r="L38" s="41">
        <v>0.5</v>
      </c>
      <c r="M38" s="41">
        <v>0.5</v>
      </c>
      <c r="N38" s="41">
        <v>0.5</v>
      </c>
      <c r="O38" s="41">
        <v>0.5</v>
      </c>
      <c r="P38" s="42">
        <v>0.5</v>
      </c>
      <c r="Q38" s="43">
        <f t="shared" si="33"/>
        <v>0.5</v>
      </c>
      <c r="R38" s="43">
        <f t="shared" si="33"/>
        <v>0.5</v>
      </c>
      <c r="S38" s="43">
        <f t="shared" si="33"/>
        <v>0.5</v>
      </c>
      <c r="T38" s="43">
        <f t="shared" si="33"/>
        <v>0.5</v>
      </c>
      <c r="U38" s="43">
        <f t="shared" si="33"/>
        <v>0.5</v>
      </c>
      <c r="V38" s="43">
        <f t="shared" si="33"/>
        <v>0.5</v>
      </c>
      <c r="W38" s="22">
        <f t="shared" si="33"/>
        <v>0.5</v>
      </c>
      <c r="X38" s="22">
        <f t="shared" si="33"/>
        <v>0.5</v>
      </c>
      <c r="Y38" s="22">
        <f t="shared" si="33"/>
        <v>0.5</v>
      </c>
      <c r="Z38" s="22">
        <f t="shared" si="33"/>
        <v>0.5</v>
      </c>
      <c r="AA38" s="22">
        <f t="shared" si="33"/>
        <v>0.5</v>
      </c>
      <c r="AB38" s="22">
        <f t="shared" si="33"/>
        <v>0.5</v>
      </c>
      <c r="AC38" s="22">
        <f t="shared" si="33"/>
        <v>0.5</v>
      </c>
      <c r="AD38" s="22">
        <f t="shared" si="33"/>
        <v>0.5</v>
      </c>
      <c r="AE38" s="22">
        <f t="shared" si="33"/>
        <v>0.5</v>
      </c>
      <c r="AF38" s="22">
        <f t="shared" si="33"/>
        <v>0.5</v>
      </c>
      <c r="AG38" s="22">
        <f t="shared" si="33"/>
        <v>0.5</v>
      </c>
      <c r="AH38" s="22">
        <f t="shared" si="33"/>
        <v>0.5</v>
      </c>
      <c r="AJ38" s="22" cm="1">
        <f t="array" aca="1" ref="AJ38" ca="1">SUMPRODUCT(($E38:$AH38)*(AJ$3&amp;AJ$4&amp;AJ$5&amp;AJ$6=$E$3:$AH$3&amp;$E$4:$AH$4&amp;$E$5:$AH$5&amp;$E$6:$AH$6))</f>
        <v>1.5</v>
      </c>
      <c r="AK38" s="22" cm="1">
        <f t="array" aca="1" ref="AK38" ca="1">SUMPRODUCT(($E38:$AH38)*(AK$3=$E$3:$AH$3)*(AK$4=$E$4:$AH$4)*(AK$5=$E$5:$AH$5)*(AK$6=$E$6:$AH$6))</f>
        <v>1.5</v>
      </c>
      <c r="AL38" s="22" cm="1">
        <f t="array" aca="1" ref="AL38" ca="1">SUMPRODUCT(($E38:$AH38)*(AL$3=$E$3:$AH$3)*(AL$4=$E$4:$AH$4)*(AL$5=$E$5:$AH$5)*(AL$6=$E$6:$AH$6))</f>
        <v>1.5</v>
      </c>
      <c r="AM38" s="23" cm="1">
        <f t="array" aca="1" ref="AM38" ca="1">SUMPRODUCT(($E38:$AH38)*(AM$3=$E$3:$AH$3)*(AM$4=$E$4:$AH$4)*(AM$5=$E$5:$AH$5)*(AM$6=$E$6:$AH$6))</f>
        <v>1.5</v>
      </c>
      <c r="AN38" s="22" cm="1">
        <f t="array" aca="1" ref="AN38" ca="1">SUMPRODUCT(($E38:$AH38)*(AN$3=$E$3:$AH$3)*(AN$4=$E$4:$AH$4)*(AN$5=$E$5:$AH$5)*(AN$6=$E$6:$AH$6))</f>
        <v>1.5</v>
      </c>
      <c r="AO38" s="22" cm="1">
        <f t="array" aca="1" ref="AO38" ca="1">SUMPRODUCT(($E38:$AH38)*(AO$3=$E$3:$AH$3)*(AO$4=$E$4:$AH$4)*(AO$5=$E$5:$AH$5)*(AO$6=$E$6:$AH$6))</f>
        <v>1.5</v>
      </c>
      <c r="AP38" s="22" cm="1">
        <f t="array" aca="1" ref="AP38" ca="1">SUMPRODUCT(($E38:$AH38)*(AP$3=$E$3:$AH$3)*(AP$4=$E$4:$AH$4)*(AP$5=$E$5:$AH$5)*(AP$6=$E$6:$AH$6))</f>
        <v>1.5</v>
      </c>
      <c r="AQ38" s="22" cm="1">
        <f t="array" aca="1" ref="AQ38" ca="1">SUMPRODUCT(($E38:$AH38)*(AQ$3=$E$3:$AH$3)*(AQ$4=$E$4:$AH$4)*(AQ$5=$E$5:$AH$5)*(AQ$6=$E$6:$AH$6))</f>
        <v>1.5</v>
      </c>
      <c r="AR38" s="22" cm="1">
        <f t="array" aca="1" ref="AR38" ca="1">SUMPRODUCT(($E38:$AH38)*(AR$3=$E$3:$AH$3)*(AR$4=$E$4:$AH$4)*(AR$5=$E$5:$AH$5)*(AR$6=$E$6:$AH$6))</f>
        <v>1.5</v>
      </c>
      <c r="AS38" s="22" cm="1">
        <f t="array" aca="1" ref="AS38" ca="1">SUMPRODUCT(($E38:$AH38)*(AS$3=$E$3:$AH$3)*(AS$4=$E$4:$AH$4)*(AS$5=$E$5:$AH$5)*(AS$6=$E$6:$AH$6))</f>
        <v>1.5</v>
      </c>
      <c r="AT38" s="22"/>
      <c r="AU38" s="22" cm="1">
        <f t="array" aca="1" ref="AU38" ca="1">SUMPRODUCT(($E38:$AH38)*(AU$5=$E$5:$AH$5))</f>
        <v>3</v>
      </c>
      <c r="AV38" s="22" cm="1">
        <f t="array" aca="1" ref="AV38" ca="1">SUMPRODUCT(($E38:$AH38)*(AV$5=$E$5:$AH$5))</f>
        <v>6</v>
      </c>
      <c r="AW38" s="22" cm="1">
        <f t="array" aca="1" ref="AW38" ca="1">SUMPRODUCT(($E38:$AH38)*(AW$5=$E$5:$AH$5))</f>
        <v>6</v>
      </c>
    </row>
    <row r="39" spans="1:57" x14ac:dyDescent="0.2">
      <c r="C39" s="25" t="s">
        <v>39</v>
      </c>
      <c r="D39" s="25"/>
      <c r="E39" s="45">
        <v>0.25</v>
      </c>
      <c r="F39" s="45">
        <v>0.25</v>
      </c>
      <c r="G39" s="45">
        <v>0.25</v>
      </c>
      <c r="H39" s="45">
        <v>0.25</v>
      </c>
      <c r="I39" s="45">
        <v>0.25</v>
      </c>
      <c r="J39" s="45">
        <v>0.25</v>
      </c>
      <c r="K39" s="45">
        <v>0.25</v>
      </c>
      <c r="L39" s="45">
        <v>0.25</v>
      </c>
      <c r="M39" s="45">
        <v>0.25</v>
      </c>
      <c r="N39" s="45">
        <v>0.25</v>
      </c>
      <c r="O39" s="45">
        <v>0.25</v>
      </c>
      <c r="P39" s="46">
        <v>0.25</v>
      </c>
      <c r="Q39" s="43">
        <f t="shared" si="33"/>
        <v>0.25</v>
      </c>
      <c r="R39" s="43">
        <f t="shared" si="33"/>
        <v>0.25</v>
      </c>
      <c r="S39" s="43">
        <f t="shared" si="33"/>
        <v>0.25</v>
      </c>
      <c r="T39" s="43">
        <f t="shared" si="33"/>
        <v>0.25</v>
      </c>
      <c r="U39" s="43">
        <f t="shared" si="33"/>
        <v>0.25</v>
      </c>
      <c r="V39" s="43">
        <f t="shared" si="33"/>
        <v>0.25</v>
      </c>
      <c r="W39" s="28">
        <f t="shared" si="33"/>
        <v>0.25</v>
      </c>
      <c r="X39" s="28">
        <f t="shared" si="33"/>
        <v>0.25</v>
      </c>
      <c r="Y39" s="28">
        <f t="shared" si="33"/>
        <v>0.25</v>
      </c>
      <c r="Z39" s="28">
        <f t="shared" si="33"/>
        <v>0.25</v>
      </c>
      <c r="AA39" s="28">
        <f t="shared" si="33"/>
        <v>0.25</v>
      </c>
      <c r="AB39" s="28">
        <f t="shared" si="33"/>
        <v>0.25</v>
      </c>
      <c r="AC39" s="28">
        <f t="shared" si="33"/>
        <v>0.25</v>
      </c>
      <c r="AD39" s="28">
        <f t="shared" si="33"/>
        <v>0.25</v>
      </c>
      <c r="AE39" s="28">
        <f t="shared" si="33"/>
        <v>0.25</v>
      </c>
      <c r="AF39" s="28">
        <f t="shared" si="33"/>
        <v>0.25</v>
      </c>
      <c r="AG39" s="28">
        <f t="shared" si="33"/>
        <v>0.25</v>
      </c>
      <c r="AH39" s="28">
        <f t="shared" si="33"/>
        <v>0.25</v>
      </c>
      <c r="AJ39" s="47" cm="1">
        <f t="array" aca="1" ref="AJ39" ca="1">SUMPRODUCT(($E39:$AH39)*(AJ$3&amp;AJ$4&amp;AJ$5&amp;AJ$6=$E$3:$AH$3&amp;$E$4:$AH$4&amp;$E$5:$AH$5&amp;$E$6:$AH$6))</f>
        <v>0.75</v>
      </c>
      <c r="AK39" s="47" cm="1">
        <f t="array" aca="1" ref="AK39" ca="1">SUMPRODUCT(($E39:$AH39)*(AK$3=$E$3:$AH$3)*(AK$4=$E$4:$AH$4)*(AK$5=$E$5:$AH$5)*(AK$6=$E$6:$AH$6))</f>
        <v>0.75</v>
      </c>
      <c r="AL39" s="47" cm="1">
        <f t="array" aca="1" ref="AL39" ca="1">SUMPRODUCT(($E39:$AH39)*(AL$3=$E$3:$AH$3)*(AL$4=$E$4:$AH$4)*(AL$5=$E$5:$AH$5)*(AL$6=$E$6:$AH$6))</f>
        <v>0.75</v>
      </c>
      <c r="AM39" s="48" cm="1">
        <f t="array" aca="1" ref="AM39" ca="1">SUMPRODUCT(($E39:$AH39)*(AM$3=$E$3:$AH$3)*(AM$4=$E$4:$AH$4)*(AM$5=$E$5:$AH$5)*(AM$6=$E$6:$AH$6))</f>
        <v>0.75</v>
      </c>
      <c r="AN39" s="47" cm="1">
        <f t="array" aca="1" ref="AN39" ca="1">SUMPRODUCT(($E39:$AH39)*(AN$3=$E$3:$AH$3)*(AN$4=$E$4:$AH$4)*(AN$5=$E$5:$AH$5)*(AN$6=$E$6:$AH$6))</f>
        <v>0.75</v>
      </c>
      <c r="AO39" s="47" cm="1">
        <f t="array" aca="1" ref="AO39" ca="1">SUMPRODUCT(($E39:$AH39)*(AO$3=$E$3:$AH$3)*(AO$4=$E$4:$AH$4)*(AO$5=$E$5:$AH$5)*(AO$6=$E$6:$AH$6))</f>
        <v>0.75</v>
      </c>
      <c r="AP39" s="47" cm="1">
        <f t="array" aca="1" ref="AP39" ca="1">SUMPRODUCT(($E39:$AH39)*(AP$3=$E$3:$AH$3)*(AP$4=$E$4:$AH$4)*(AP$5=$E$5:$AH$5)*(AP$6=$E$6:$AH$6))</f>
        <v>0.75</v>
      </c>
      <c r="AQ39" s="47" cm="1">
        <f t="array" aca="1" ref="AQ39" ca="1">SUMPRODUCT(($E39:$AH39)*(AQ$3=$E$3:$AH$3)*(AQ$4=$E$4:$AH$4)*(AQ$5=$E$5:$AH$5)*(AQ$6=$E$6:$AH$6))</f>
        <v>0.75</v>
      </c>
      <c r="AR39" s="47" cm="1">
        <f t="array" aca="1" ref="AR39" ca="1">SUMPRODUCT(($E39:$AH39)*(AR$3=$E$3:$AH$3)*(AR$4=$E$4:$AH$4)*(AR$5=$E$5:$AH$5)*(AR$6=$E$6:$AH$6))</f>
        <v>0.75</v>
      </c>
      <c r="AS39" s="47" cm="1">
        <f t="array" aca="1" ref="AS39" ca="1">SUMPRODUCT(($E39:$AH39)*(AS$3=$E$3:$AH$3)*(AS$4=$E$4:$AH$4)*(AS$5=$E$5:$AH$5)*(AS$6=$E$6:$AH$6))</f>
        <v>0.75</v>
      </c>
      <c r="AT39" s="22"/>
      <c r="AU39" s="47" cm="1">
        <f t="array" aca="1" ref="AU39" ca="1">SUMPRODUCT(($E39:$AH39)*(AU$5=$E$5:$AH$5))</f>
        <v>1.5</v>
      </c>
      <c r="AV39" s="47" cm="1">
        <f t="array" aca="1" ref="AV39" ca="1">SUMPRODUCT(($E39:$AH39)*(AV$5=$E$5:$AH$5))</f>
        <v>3</v>
      </c>
      <c r="AW39" s="47" cm="1">
        <f t="array" aca="1" ref="AW39" ca="1">SUMPRODUCT(($E39:$AH39)*(AW$5=$E$5:$AH$5))</f>
        <v>3</v>
      </c>
    </row>
    <row r="40" spans="1:57" x14ac:dyDescent="0.2">
      <c r="B40" t="s">
        <v>12</v>
      </c>
      <c r="C40" s="49" t="s">
        <v>40</v>
      </c>
      <c r="D40" s="49"/>
      <c r="E40" s="22">
        <f>SUM(E36:E39)</f>
        <v>4.75</v>
      </c>
      <c r="F40" s="22">
        <f t="shared" ref="F40:AH40" si="34">SUM(F36:F39)</f>
        <v>4.75</v>
      </c>
      <c r="G40" s="22">
        <f t="shared" si="34"/>
        <v>4.75</v>
      </c>
      <c r="H40" s="22">
        <f t="shared" si="34"/>
        <v>4.75</v>
      </c>
      <c r="I40" s="22">
        <f t="shared" si="34"/>
        <v>4.75</v>
      </c>
      <c r="J40" s="22">
        <f t="shared" si="34"/>
        <v>4.75</v>
      </c>
      <c r="K40" s="22">
        <f t="shared" si="34"/>
        <v>4.75</v>
      </c>
      <c r="L40" s="22">
        <f t="shared" si="34"/>
        <v>4.75</v>
      </c>
      <c r="M40" s="22">
        <f t="shared" si="34"/>
        <v>4.75</v>
      </c>
      <c r="N40" s="22">
        <f t="shared" si="34"/>
        <v>4.75</v>
      </c>
      <c r="O40" s="22">
        <f t="shared" si="34"/>
        <v>4.75</v>
      </c>
      <c r="P40" s="50">
        <f t="shared" si="34"/>
        <v>4.75</v>
      </c>
      <c r="Q40" s="51">
        <f t="shared" si="34"/>
        <v>4.75</v>
      </c>
      <c r="R40" s="51">
        <f t="shared" si="34"/>
        <v>4.75</v>
      </c>
      <c r="S40" s="51">
        <f t="shared" si="34"/>
        <v>4.75</v>
      </c>
      <c r="T40" s="51">
        <f t="shared" si="34"/>
        <v>4.75</v>
      </c>
      <c r="U40" s="51">
        <f t="shared" si="34"/>
        <v>4.75</v>
      </c>
      <c r="V40" s="51">
        <f t="shared" si="34"/>
        <v>4.75</v>
      </c>
      <c r="W40" s="22">
        <f t="shared" si="34"/>
        <v>5.35</v>
      </c>
      <c r="X40" s="22">
        <f t="shared" si="34"/>
        <v>5.35</v>
      </c>
      <c r="Y40" s="22">
        <f t="shared" si="34"/>
        <v>5.35</v>
      </c>
      <c r="Z40" s="22">
        <f t="shared" si="34"/>
        <v>5.35</v>
      </c>
      <c r="AA40" s="22">
        <f t="shared" si="34"/>
        <v>5.35</v>
      </c>
      <c r="AB40" s="22">
        <f t="shared" si="34"/>
        <v>5.35</v>
      </c>
      <c r="AC40" s="22">
        <f t="shared" si="34"/>
        <v>5.35</v>
      </c>
      <c r="AD40" s="22">
        <f t="shared" si="34"/>
        <v>5.35</v>
      </c>
      <c r="AE40" s="22">
        <f t="shared" si="34"/>
        <v>5.35</v>
      </c>
      <c r="AF40" s="22">
        <f t="shared" si="34"/>
        <v>5.35</v>
      </c>
      <c r="AG40" s="22">
        <f t="shared" si="34"/>
        <v>5.35</v>
      </c>
      <c r="AH40" s="22">
        <f t="shared" si="34"/>
        <v>5.35</v>
      </c>
      <c r="AJ40" s="52">
        <f t="shared" ref="AJ40:AW40" ca="1" si="35">SUM(AJ36:AJ39)</f>
        <v>14.25</v>
      </c>
      <c r="AK40" s="52">
        <f t="shared" ca="1" si="35"/>
        <v>14.25</v>
      </c>
      <c r="AL40" s="52">
        <f t="shared" ca="1" si="35"/>
        <v>14.25</v>
      </c>
      <c r="AM40" s="53">
        <f t="shared" ca="1" si="35"/>
        <v>14.25</v>
      </c>
      <c r="AN40" s="52">
        <f t="shared" ca="1" si="35"/>
        <v>14.25</v>
      </c>
      <c r="AO40" s="52">
        <f t="shared" ca="1" si="35"/>
        <v>14.25</v>
      </c>
      <c r="AP40" s="52">
        <f t="shared" ca="1" si="35"/>
        <v>16.049999999999997</v>
      </c>
      <c r="AQ40" s="52">
        <f t="shared" ca="1" si="35"/>
        <v>16.049999999999997</v>
      </c>
      <c r="AR40" s="52">
        <f t="shared" ca="1" si="35"/>
        <v>16.049999999999997</v>
      </c>
      <c r="AS40" s="52">
        <f t="shared" ca="1" si="35"/>
        <v>16.049999999999997</v>
      </c>
      <c r="AT40" s="22"/>
      <c r="AU40" s="52">
        <f t="shared" ca="1" si="35"/>
        <v>28.5</v>
      </c>
      <c r="AV40" s="52">
        <f t="shared" ca="1" si="35"/>
        <v>57</v>
      </c>
      <c r="AW40" s="52">
        <f t="shared" ca="1" si="35"/>
        <v>64.2</v>
      </c>
    </row>
    <row r="41" spans="1:57" x14ac:dyDescent="0.2">
      <c r="P41" s="2"/>
      <c r="AM41" s="2"/>
      <c r="AT41" s="22"/>
    </row>
    <row r="42" spans="1:57" ht="16" thickBot="1" x14ac:dyDescent="0.25">
      <c r="C42" s="54" t="s">
        <v>41</v>
      </c>
      <c r="D42" s="54"/>
      <c r="E42" s="55">
        <f>E40</f>
        <v>4.75</v>
      </c>
      <c r="F42" s="55">
        <f t="shared" ref="F42:AW42" si="36">F40</f>
        <v>4.75</v>
      </c>
      <c r="G42" s="55">
        <f t="shared" si="36"/>
        <v>4.75</v>
      </c>
      <c r="H42" s="55">
        <f t="shared" si="36"/>
        <v>4.75</v>
      </c>
      <c r="I42" s="55">
        <f t="shared" si="36"/>
        <v>4.75</v>
      </c>
      <c r="J42" s="55">
        <f t="shared" si="36"/>
        <v>4.75</v>
      </c>
      <c r="K42" s="55">
        <f t="shared" si="36"/>
        <v>4.75</v>
      </c>
      <c r="L42" s="55">
        <f t="shared" si="36"/>
        <v>4.75</v>
      </c>
      <c r="M42" s="55">
        <f t="shared" si="36"/>
        <v>4.75</v>
      </c>
      <c r="N42" s="55">
        <f t="shared" si="36"/>
        <v>4.75</v>
      </c>
      <c r="O42" s="55">
        <f t="shared" si="36"/>
        <v>4.75</v>
      </c>
      <c r="P42" s="55">
        <f t="shared" si="36"/>
        <v>4.75</v>
      </c>
      <c r="Q42" s="55">
        <f t="shared" si="36"/>
        <v>4.75</v>
      </c>
      <c r="R42" s="55">
        <f t="shared" si="36"/>
        <v>4.75</v>
      </c>
      <c r="S42" s="55">
        <f t="shared" si="36"/>
        <v>4.75</v>
      </c>
      <c r="T42" s="55">
        <f t="shared" si="36"/>
        <v>4.75</v>
      </c>
      <c r="U42" s="55">
        <f t="shared" si="36"/>
        <v>4.75</v>
      </c>
      <c r="V42" s="55">
        <f t="shared" si="36"/>
        <v>4.75</v>
      </c>
      <c r="W42" s="55">
        <f t="shared" si="36"/>
        <v>5.35</v>
      </c>
      <c r="X42" s="55">
        <f t="shared" si="36"/>
        <v>5.35</v>
      </c>
      <c r="Y42" s="55">
        <f t="shared" si="36"/>
        <v>5.35</v>
      </c>
      <c r="Z42" s="55">
        <f t="shared" si="36"/>
        <v>5.35</v>
      </c>
      <c r="AA42" s="55">
        <f t="shared" si="36"/>
        <v>5.35</v>
      </c>
      <c r="AB42" s="55">
        <f t="shared" si="36"/>
        <v>5.35</v>
      </c>
      <c r="AC42" s="55">
        <f t="shared" si="36"/>
        <v>5.35</v>
      </c>
      <c r="AD42" s="55">
        <f t="shared" si="36"/>
        <v>5.35</v>
      </c>
      <c r="AE42" s="55">
        <f t="shared" si="36"/>
        <v>5.35</v>
      </c>
      <c r="AF42" s="55">
        <f t="shared" si="36"/>
        <v>5.35</v>
      </c>
      <c r="AG42" s="55">
        <f t="shared" si="36"/>
        <v>5.35</v>
      </c>
      <c r="AH42" s="55">
        <f t="shared" si="36"/>
        <v>5.35</v>
      </c>
      <c r="AI42" s="55">
        <f t="shared" si="36"/>
        <v>0</v>
      </c>
      <c r="AJ42" s="55">
        <f t="shared" ca="1" si="36"/>
        <v>14.25</v>
      </c>
      <c r="AK42" s="55">
        <f t="shared" ca="1" si="36"/>
        <v>14.25</v>
      </c>
      <c r="AL42" s="55">
        <f t="shared" ca="1" si="36"/>
        <v>14.25</v>
      </c>
      <c r="AM42" s="56">
        <f t="shared" ca="1" si="36"/>
        <v>14.25</v>
      </c>
      <c r="AN42" s="55">
        <f t="shared" ca="1" si="36"/>
        <v>14.25</v>
      </c>
      <c r="AO42" s="55">
        <f t="shared" ca="1" si="36"/>
        <v>14.25</v>
      </c>
      <c r="AP42" s="55">
        <f t="shared" ca="1" si="36"/>
        <v>16.049999999999997</v>
      </c>
      <c r="AQ42" s="55">
        <f t="shared" ca="1" si="36"/>
        <v>16.049999999999997</v>
      </c>
      <c r="AR42" s="55">
        <f t="shared" ca="1" si="36"/>
        <v>16.049999999999997</v>
      </c>
      <c r="AS42" s="55">
        <f t="shared" ca="1" si="36"/>
        <v>16.049999999999997</v>
      </c>
      <c r="AT42" s="22"/>
      <c r="AU42" s="55">
        <f t="shared" ca="1" si="36"/>
        <v>28.5</v>
      </c>
      <c r="AV42" s="55">
        <f t="shared" ca="1" si="36"/>
        <v>57</v>
      </c>
      <c r="AW42" s="55">
        <f t="shared" ca="1" si="36"/>
        <v>64.2</v>
      </c>
    </row>
    <row r="43" spans="1:57" ht="16" thickTop="1" x14ac:dyDescent="0.2"/>
    <row r="44" spans="1:57" ht="19" x14ac:dyDescent="0.25">
      <c r="A44" t="s">
        <v>12</v>
      </c>
      <c r="C44" s="38" t="s">
        <v>42</v>
      </c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</row>
    <row r="46" spans="1:57" x14ac:dyDescent="0.2">
      <c r="C46" s="17" t="s">
        <v>43</v>
      </c>
      <c r="D46" s="17"/>
      <c r="E46" s="18" t="str">
        <f t="shared" ref="E46:AH46" si="37">E$9</f>
        <v>Jul-20A</v>
      </c>
      <c r="F46" s="18" t="str">
        <f t="shared" si="37"/>
        <v>Aug-20A</v>
      </c>
      <c r="G46" s="18" t="str">
        <f t="shared" si="37"/>
        <v>Sep-20A</v>
      </c>
      <c r="H46" s="18" t="str">
        <f t="shared" si="37"/>
        <v>Oct-20A</v>
      </c>
      <c r="I46" s="18" t="str">
        <f t="shared" si="37"/>
        <v>Nov-20A</v>
      </c>
      <c r="J46" s="18" t="str">
        <f t="shared" si="37"/>
        <v>Dec-20A</v>
      </c>
      <c r="K46" s="18" t="str">
        <f t="shared" si="37"/>
        <v>Jan-21A</v>
      </c>
      <c r="L46" s="18" t="str">
        <f t="shared" si="37"/>
        <v>Feb-21A</v>
      </c>
      <c r="M46" s="18" t="str">
        <f t="shared" si="37"/>
        <v>Mar-21A</v>
      </c>
      <c r="N46" s="18" t="str">
        <f t="shared" si="37"/>
        <v>Apr-21A</v>
      </c>
      <c r="O46" s="18" t="str">
        <f t="shared" si="37"/>
        <v>May-21A</v>
      </c>
      <c r="P46" s="19" t="str">
        <f t="shared" si="37"/>
        <v>Jun-21A</v>
      </c>
      <c r="Q46" s="18" t="str">
        <f t="shared" si="37"/>
        <v>Jul-21F</v>
      </c>
      <c r="R46" s="18" t="str">
        <f t="shared" si="37"/>
        <v>Aug-21F</v>
      </c>
      <c r="S46" s="18" t="str">
        <f t="shared" si="37"/>
        <v>Sep-21F</v>
      </c>
      <c r="T46" s="18" t="str">
        <f t="shared" si="37"/>
        <v>Oct-21F</v>
      </c>
      <c r="U46" s="18" t="str">
        <f t="shared" si="37"/>
        <v>Nov-21F</v>
      </c>
      <c r="V46" s="18" t="str">
        <f t="shared" si="37"/>
        <v>Dec-21F</v>
      </c>
      <c r="W46" s="18" t="str">
        <f t="shared" si="37"/>
        <v>Jan-22F</v>
      </c>
      <c r="X46" s="18" t="str">
        <f t="shared" si="37"/>
        <v>Feb-22F</v>
      </c>
      <c r="Y46" s="18" t="str">
        <f t="shared" si="37"/>
        <v>Mar-22F</v>
      </c>
      <c r="Z46" s="18" t="str">
        <f t="shared" si="37"/>
        <v>Apr-22F</v>
      </c>
      <c r="AA46" s="18" t="str">
        <f t="shared" si="37"/>
        <v>May-22F</v>
      </c>
      <c r="AB46" s="18" t="str">
        <f t="shared" si="37"/>
        <v>Jun-22F</v>
      </c>
      <c r="AC46" s="18" t="str">
        <f t="shared" si="37"/>
        <v>Jul-22F</v>
      </c>
      <c r="AD46" s="18" t="str">
        <f t="shared" si="37"/>
        <v>Aug-22F</v>
      </c>
      <c r="AE46" s="18" t="str">
        <f t="shared" si="37"/>
        <v>Sep-22F</v>
      </c>
      <c r="AF46" s="18" t="str">
        <f t="shared" si="37"/>
        <v>Oct-22F</v>
      </c>
      <c r="AG46" s="18" t="str">
        <f t="shared" si="37"/>
        <v>Nov-22F</v>
      </c>
      <c r="AH46" s="18" t="str">
        <f t="shared" si="37"/>
        <v>Dec-22F</v>
      </c>
      <c r="AJ46" s="18" t="str">
        <f ca="1">AJ$10</f>
        <v>Q3'20A</v>
      </c>
      <c r="AK46" s="18" t="str">
        <f t="shared" ref="AK46:AW46" ca="1" si="38">AK$10</f>
        <v>Q4'20A</v>
      </c>
      <c r="AL46" s="18" t="str">
        <f t="shared" ca="1" si="38"/>
        <v>Q1'21A</v>
      </c>
      <c r="AM46" s="19" t="str">
        <f t="shared" ca="1" si="38"/>
        <v>Q2'21A</v>
      </c>
      <c r="AN46" s="18" t="str">
        <f t="shared" ca="1" si="38"/>
        <v>Q3'21F</v>
      </c>
      <c r="AO46" s="18" t="str">
        <f t="shared" ca="1" si="38"/>
        <v>Q4'21F</v>
      </c>
      <c r="AP46" s="18" t="str">
        <f t="shared" ca="1" si="38"/>
        <v>Q1'22F</v>
      </c>
      <c r="AQ46" s="18" t="str">
        <f t="shared" ca="1" si="38"/>
        <v>Q2'22F</v>
      </c>
      <c r="AR46" s="18" t="str">
        <f t="shared" ca="1" si="38"/>
        <v>Q3'22F</v>
      </c>
      <c r="AS46" s="18" t="str">
        <f t="shared" ca="1" si="38"/>
        <v>Q4'22F</v>
      </c>
      <c r="AU46" s="18" t="str">
        <f t="shared" ca="1" si="38"/>
        <v>FY20</v>
      </c>
      <c r="AV46" s="18" t="str">
        <f t="shared" ca="1" si="38"/>
        <v>FY21</v>
      </c>
      <c r="AW46" s="18" t="str">
        <f t="shared" ca="1" si="38"/>
        <v>FY22</v>
      </c>
    </row>
    <row r="47" spans="1:57" x14ac:dyDescent="0.2">
      <c r="C47" s="57" t="s">
        <v>44</v>
      </c>
      <c r="E47" s="58">
        <v>2841.1877924236569</v>
      </c>
      <c r="F47" s="58">
        <v>2841.1877924236569</v>
      </c>
      <c r="G47" s="58">
        <v>2841.1877924236569</v>
      </c>
      <c r="H47" s="58">
        <v>2841.1877924236569</v>
      </c>
      <c r="I47" s="58">
        <v>2841.1877924236569</v>
      </c>
      <c r="J47" s="59">
        <v>2841.1877924236569</v>
      </c>
      <c r="K47" s="58">
        <v>2841.1877924236569</v>
      </c>
      <c r="L47" s="58">
        <v>2841.1877924236569</v>
      </c>
      <c r="M47" s="58">
        <v>2841.1877924236569</v>
      </c>
      <c r="N47" s="58">
        <v>2841.1877924236569</v>
      </c>
      <c r="O47" s="58">
        <v>2841.1877924236569</v>
      </c>
      <c r="P47" s="60">
        <v>2841.1877924236569</v>
      </c>
      <c r="Q47" s="58">
        <v>2841.1877924236569</v>
      </c>
      <c r="R47" s="58">
        <v>2841.1877924236569</v>
      </c>
      <c r="S47" s="58">
        <v>2841.1877924236569</v>
      </c>
      <c r="T47" s="58">
        <v>2841.1877924236569</v>
      </c>
      <c r="U47" s="58">
        <v>2841.1877924236569</v>
      </c>
      <c r="V47" s="58">
        <v>2841.1877924236569</v>
      </c>
      <c r="W47" s="58">
        <v>2841.1877924236569</v>
      </c>
      <c r="X47" s="58">
        <v>2841.1877924236569</v>
      </c>
      <c r="Y47" s="58">
        <v>2841.1877924236569</v>
      </c>
      <c r="Z47" s="58">
        <v>2841.1877924236569</v>
      </c>
      <c r="AA47" s="58">
        <v>2841.1877924236569</v>
      </c>
      <c r="AB47" s="58">
        <v>2841.1877924236569</v>
      </c>
      <c r="AC47" s="58">
        <v>2841.1877924236569</v>
      </c>
      <c r="AD47" s="58">
        <v>2841.1877924236569</v>
      </c>
      <c r="AE47" s="58">
        <v>2841.1877924236569</v>
      </c>
      <c r="AF47" s="58">
        <v>2841.1877924236569</v>
      </c>
      <c r="AG47" s="58">
        <v>2841.1877924236569</v>
      </c>
      <c r="AH47" s="58">
        <v>2841.1877924236569</v>
      </c>
      <c r="AM47" s="2"/>
    </row>
    <row r="48" spans="1:57" x14ac:dyDescent="0.2">
      <c r="C48" t="s">
        <v>45</v>
      </c>
      <c r="E48" s="61">
        <v>9.5</v>
      </c>
      <c r="F48" s="58"/>
      <c r="G48" s="58"/>
      <c r="H48" s="58"/>
      <c r="I48" s="58"/>
      <c r="J48" s="59"/>
      <c r="K48" s="58"/>
      <c r="L48" s="58"/>
      <c r="M48" s="58"/>
      <c r="N48" s="58"/>
      <c r="O48" s="58"/>
      <c r="P48" s="60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M48" s="2"/>
    </row>
    <row r="49" spans="1:51" x14ac:dyDescent="0.2">
      <c r="C49" s="25" t="s">
        <v>46</v>
      </c>
      <c r="D49" s="32"/>
      <c r="E49" s="62">
        <f>1/$E$48/12</f>
        <v>8.771929824561403E-3</v>
      </c>
      <c r="F49" s="62">
        <f>E49</f>
        <v>8.771929824561403E-3</v>
      </c>
      <c r="G49" s="62">
        <f t="shared" ref="G49:AH50" si="39">F49</f>
        <v>8.771929824561403E-3</v>
      </c>
      <c r="H49" s="62">
        <f t="shared" si="39"/>
        <v>8.771929824561403E-3</v>
      </c>
      <c r="I49" s="62">
        <f t="shared" si="39"/>
        <v>8.771929824561403E-3</v>
      </c>
      <c r="J49" s="62">
        <f t="shared" si="39"/>
        <v>8.771929824561403E-3</v>
      </c>
      <c r="K49" s="62">
        <f t="shared" si="39"/>
        <v>8.771929824561403E-3</v>
      </c>
      <c r="L49" s="62">
        <f t="shared" si="39"/>
        <v>8.771929824561403E-3</v>
      </c>
      <c r="M49" s="62">
        <f t="shared" si="39"/>
        <v>8.771929824561403E-3</v>
      </c>
      <c r="N49" s="62">
        <f t="shared" si="39"/>
        <v>8.771929824561403E-3</v>
      </c>
      <c r="O49" s="62">
        <f t="shared" si="39"/>
        <v>8.771929824561403E-3</v>
      </c>
      <c r="P49" s="62">
        <f t="shared" si="39"/>
        <v>8.771929824561403E-3</v>
      </c>
      <c r="Q49" s="62">
        <f t="shared" si="39"/>
        <v>8.771929824561403E-3</v>
      </c>
      <c r="R49" s="62">
        <f t="shared" si="39"/>
        <v>8.771929824561403E-3</v>
      </c>
      <c r="S49" s="62">
        <f t="shared" si="39"/>
        <v>8.771929824561403E-3</v>
      </c>
      <c r="T49" s="62">
        <f t="shared" si="39"/>
        <v>8.771929824561403E-3</v>
      </c>
      <c r="U49" s="62">
        <f t="shared" si="39"/>
        <v>8.771929824561403E-3</v>
      </c>
      <c r="V49" s="62">
        <f t="shared" si="39"/>
        <v>8.771929824561403E-3</v>
      </c>
      <c r="W49" s="62">
        <f t="shared" si="39"/>
        <v>8.771929824561403E-3</v>
      </c>
      <c r="X49" s="62">
        <f t="shared" si="39"/>
        <v>8.771929824561403E-3</v>
      </c>
      <c r="Y49" s="62">
        <f t="shared" si="39"/>
        <v>8.771929824561403E-3</v>
      </c>
      <c r="Z49" s="62">
        <f t="shared" si="39"/>
        <v>8.771929824561403E-3</v>
      </c>
      <c r="AA49" s="62">
        <f t="shared" si="39"/>
        <v>8.771929824561403E-3</v>
      </c>
      <c r="AB49" s="62">
        <f t="shared" si="39"/>
        <v>8.771929824561403E-3</v>
      </c>
      <c r="AC49" s="62">
        <f t="shared" si="39"/>
        <v>8.771929824561403E-3</v>
      </c>
      <c r="AD49" s="62">
        <f t="shared" si="39"/>
        <v>8.771929824561403E-3</v>
      </c>
      <c r="AE49" s="62">
        <f t="shared" si="39"/>
        <v>8.771929824561403E-3</v>
      </c>
      <c r="AF49" s="62">
        <f t="shared" si="39"/>
        <v>8.771929824561403E-3</v>
      </c>
      <c r="AG49" s="62">
        <f t="shared" si="39"/>
        <v>8.771929824561403E-3</v>
      </c>
      <c r="AH49" s="62">
        <f t="shared" si="39"/>
        <v>8.771929824561403E-3</v>
      </c>
      <c r="AJ49" s="32"/>
      <c r="AK49" s="32"/>
      <c r="AL49" s="32"/>
      <c r="AM49" s="63"/>
      <c r="AN49" s="32"/>
      <c r="AO49" s="32"/>
      <c r="AP49" s="32"/>
      <c r="AQ49" s="32"/>
      <c r="AR49" s="32"/>
      <c r="AS49" s="32"/>
      <c r="AU49" s="32"/>
      <c r="AV49" s="32"/>
      <c r="AW49" s="32"/>
    </row>
    <row r="50" spans="1:51" x14ac:dyDescent="0.2">
      <c r="B50" t="s">
        <v>12</v>
      </c>
      <c r="C50" t="s">
        <v>47</v>
      </c>
      <c r="E50" s="64">
        <f>E47*E49</f>
        <v>24.922699933540848</v>
      </c>
      <c r="F50" s="65">
        <f>E50</f>
        <v>24.922699933540848</v>
      </c>
      <c r="G50" s="65">
        <f t="shared" si="39"/>
        <v>24.922699933540848</v>
      </c>
      <c r="H50" s="65">
        <f t="shared" si="39"/>
        <v>24.922699933540848</v>
      </c>
      <c r="I50" s="65">
        <f t="shared" si="39"/>
        <v>24.922699933540848</v>
      </c>
      <c r="J50" s="65">
        <f t="shared" si="39"/>
        <v>24.922699933540848</v>
      </c>
      <c r="K50" s="65">
        <f t="shared" si="39"/>
        <v>24.922699933540848</v>
      </c>
      <c r="L50" s="65">
        <f t="shared" si="39"/>
        <v>24.922699933540848</v>
      </c>
      <c r="M50" s="65">
        <f t="shared" si="39"/>
        <v>24.922699933540848</v>
      </c>
      <c r="N50" s="65">
        <f t="shared" si="39"/>
        <v>24.922699933540848</v>
      </c>
      <c r="O50" s="65">
        <f t="shared" si="39"/>
        <v>24.922699933540848</v>
      </c>
      <c r="P50" s="65">
        <f t="shared" si="39"/>
        <v>24.922699933540848</v>
      </c>
      <c r="Q50" s="65">
        <f t="shared" si="39"/>
        <v>24.922699933540848</v>
      </c>
      <c r="R50" s="65">
        <f t="shared" si="39"/>
        <v>24.922699933540848</v>
      </c>
      <c r="S50" s="65">
        <f t="shared" si="39"/>
        <v>24.922699933540848</v>
      </c>
      <c r="T50" s="65">
        <f t="shared" si="39"/>
        <v>24.922699933540848</v>
      </c>
      <c r="U50" s="65">
        <f t="shared" si="39"/>
        <v>24.922699933540848</v>
      </c>
      <c r="V50" s="65">
        <f t="shared" si="39"/>
        <v>24.922699933540848</v>
      </c>
      <c r="W50" s="65">
        <f t="shared" si="39"/>
        <v>24.922699933540848</v>
      </c>
      <c r="X50" s="65">
        <f t="shared" si="39"/>
        <v>24.922699933540848</v>
      </c>
      <c r="Y50" s="65">
        <f t="shared" si="39"/>
        <v>24.922699933540848</v>
      </c>
      <c r="Z50" s="65">
        <f t="shared" si="39"/>
        <v>24.922699933540848</v>
      </c>
      <c r="AA50" s="65">
        <f t="shared" si="39"/>
        <v>24.922699933540848</v>
      </c>
      <c r="AB50" s="65">
        <f t="shared" si="39"/>
        <v>24.922699933540848</v>
      </c>
      <c r="AC50" s="65">
        <f t="shared" si="39"/>
        <v>24.922699933540848</v>
      </c>
      <c r="AD50" s="65">
        <f t="shared" si="39"/>
        <v>24.922699933540848</v>
      </c>
      <c r="AE50" s="65">
        <f t="shared" si="39"/>
        <v>24.922699933540848</v>
      </c>
      <c r="AF50" s="65">
        <f t="shared" si="39"/>
        <v>24.922699933540848</v>
      </c>
      <c r="AG50" s="65">
        <f t="shared" si="39"/>
        <v>24.922699933540848</v>
      </c>
      <c r="AH50" s="65">
        <f t="shared" si="39"/>
        <v>24.922699933540848</v>
      </c>
      <c r="AI50" s="65"/>
      <c r="AJ50" s="22" cm="1">
        <f t="array" aca="1" ref="AJ50" ca="1">SUMPRODUCT(($E50:$AH50)*(AJ$3&amp;AJ$4&amp;AJ$5&amp;AJ$6=$E$3:$AH$3&amp;$E$4:$AH$4&amp;$E$5:$AH$5&amp;$E$6:$AH$6))</f>
        <v>74.768099800622537</v>
      </c>
      <c r="AK50" s="22" cm="1">
        <f t="array" aca="1" ref="AK50" ca="1">SUMPRODUCT(($E50:$AH50)*(AK$3=$E$3:$AH$3)*(AK$4=$E$4:$AH$4)*(AK$5=$E$5:$AH$5)*(AK$6=$E$6:$AH$6))</f>
        <v>74.768099800622537</v>
      </c>
      <c r="AL50" s="22" cm="1">
        <f t="array" aca="1" ref="AL50" ca="1">SUMPRODUCT(($E50:$AH50)*(AL$3=$E$3:$AH$3)*(AL$4=$E$4:$AH$4)*(AL$5=$E$5:$AH$5)*(AL$6=$E$6:$AH$6))</f>
        <v>74.768099800622537</v>
      </c>
      <c r="AM50" s="23" cm="1">
        <f t="array" aca="1" ref="AM50" ca="1">SUMPRODUCT(($E50:$AH50)*(AM$3=$E$3:$AH$3)*(AM$4=$E$4:$AH$4)*(AM$5=$E$5:$AH$5)*(AM$6=$E$6:$AH$6))</f>
        <v>74.768099800622537</v>
      </c>
      <c r="AN50" s="22" cm="1">
        <f t="array" aca="1" ref="AN50" ca="1">SUMPRODUCT(($E50:$AH50)*(AN$3=$E$3:$AH$3)*(AN$4=$E$4:$AH$4)*(AN$5=$E$5:$AH$5)*(AN$6=$E$6:$AH$6))</f>
        <v>74.768099800622537</v>
      </c>
      <c r="AO50" s="22" cm="1">
        <f t="array" aca="1" ref="AO50" ca="1">SUMPRODUCT(($E50:$AH50)*(AO$3=$E$3:$AH$3)*(AO$4=$E$4:$AH$4)*(AO$5=$E$5:$AH$5)*(AO$6=$E$6:$AH$6))</f>
        <v>74.768099800622537</v>
      </c>
      <c r="AP50" s="22" cm="1">
        <f t="array" aca="1" ref="AP50" ca="1">SUMPRODUCT(($E50:$AH50)*(AP$3=$E$3:$AH$3)*(AP$4=$E$4:$AH$4)*(AP$5=$E$5:$AH$5)*(AP$6=$E$6:$AH$6))</f>
        <v>74.768099800622537</v>
      </c>
      <c r="AQ50" s="22" cm="1">
        <f t="array" aca="1" ref="AQ50" ca="1">SUMPRODUCT(($E50:$AH50)*(AQ$3=$E$3:$AH$3)*(AQ$4=$E$4:$AH$4)*(AQ$5=$E$5:$AH$5)*(AQ$6=$E$6:$AH$6))</f>
        <v>74.768099800622537</v>
      </c>
      <c r="AR50" s="22" cm="1">
        <f t="array" aca="1" ref="AR50" ca="1">SUMPRODUCT(($E50:$AH50)*(AR$3=$E$3:$AH$3)*(AR$4=$E$4:$AH$4)*(AR$5=$E$5:$AH$5)*(AR$6=$E$6:$AH$6))</f>
        <v>74.768099800622537</v>
      </c>
      <c r="AS50" s="22" cm="1">
        <f t="array" aca="1" ref="AS50" ca="1">SUMPRODUCT(($E50:$AH50)*(AS$3=$E$3:$AH$3)*(AS$4=$E$4:$AH$4)*(AS$5=$E$5:$AH$5)*(AS$6=$E$6:$AH$6))</f>
        <v>74.768099800622537</v>
      </c>
      <c r="AU50" s="22" cm="1">
        <f t="array" aca="1" ref="AU50" ca="1">SUMPRODUCT(($E50:$AH50)*(AU$5=$E$5:$AH$5))</f>
        <v>149.5361996012451</v>
      </c>
      <c r="AV50" s="22" cm="1">
        <f t="array" aca="1" ref="AV50" ca="1">SUMPRODUCT(($E50:$AH50)*(AV$5=$E$5:$AH$5))</f>
        <v>299.0723992024902</v>
      </c>
      <c r="AW50" s="22" cm="1">
        <f t="array" aca="1" ref="AW50" ca="1">SUMPRODUCT(($E50:$AH50)*(AW$5=$E$5:$AH$5))</f>
        <v>299.0723992024902</v>
      </c>
    </row>
    <row r="51" spans="1:51" x14ac:dyDescent="0.2">
      <c r="P51" s="2"/>
      <c r="AM51" s="2"/>
    </row>
    <row r="52" spans="1:51" x14ac:dyDescent="0.2">
      <c r="C52" s="17" t="s">
        <v>48</v>
      </c>
      <c r="D52" s="17"/>
      <c r="E52" s="18" t="str">
        <f t="shared" ref="E52:AH52" si="40">E$9</f>
        <v>Jul-20A</v>
      </c>
      <c r="F52" s="18" t="str">
        <f t="shared" si="40"/>
        <v>Aug-20A</v>
      </c>
      <c r="G52" s="18" t="str">
        <f t="shared" si="40"/>
        <v>Sep-20A</v>
      </c>
      <c r="H52" s="18" t="str">
        <f t="shared" si="40"/>
        <v>Oct-20A</v>
      </c>
      <c r="I52" s="18" t="str">
        <f t="shared" si="40"/>
        <v>Nov-20A</v>
      </c>
      <c r="J52" s="18" t="str">
        <f t="shared" si="40"/>
        <v>Dec-20A</v>
      </c>
      <c r="K52" s="18" t="str">
        <f t="shared" si="40"/>
        <v>Jan-21A</v>
      </c>
      <c r="L52" s="18" t="str">
        <f t="shared" si="40"/>
        <v>Feb-21A</v>
      </c>
      <c r="M52" s="18" t="str">
        <f t="shared" si="40"/>
        <v>Mar-21A</v>
      </c>
      <c r="N52" s="18" t="str">
        <f t="shared" si="40"/>
        <v>Apr-21A</v>
      </c>
      <c r="O52" s="18" t="str">
        <f t="shared" si="40"/>
        <v>May-21A</v>
      </c>
      <c r="P52" s="19" t="str">
        <f t="shared" si="40"/>
        <v>Jun-21A</v>
      </c>
      <c r="Q52" s="18" t="str">
        <f t="shared" si="40"/>
        <v>Jul-21F</v>
      </c>
      <c r="R52" s="18" t="str">
        <f t="shared" si="40"/>
        <v>Aug-21F</v>
      </c>
      <c r="S52" s="18" t="str">
        <f t="shared" si="40"/>
        <v>Sep-21F</v>
      </c>
      <c r="T52" s="18" t="str">
        <f t="shared" si="40"/>
        <v>Oct-21F</v>
      </c>
      <c r="U52" s="18" t="str">
        <f t="shared" si="40"/>
        <v>Nov-21F</v>
      </c>
      <c r="V52" s="18" t="str">
        <f t="shared" si="40"/>
        <v>Dec-21F</v>
      </c>
      <c r="W52" s="18" t="str">
        <f t="shared" si="40"/>
        <v>Jan-22F</v>
      </c>
      <c r="X52" s="18" t="str">
        <f t="shared" si="40"/>
        <v>Feb-22F</v>
      </c>
      <c r="Y52" s="18" t="str">
        <f t="shared" si="40"/>
        <v>Mar-22F</v>
      </c>
      <c r="Z52" s="18" t="str">
        <f t="shared" si="40"/>
        <v>Apr-22F</v>
      </c>
      <c r="AA52" s="18" t="str">
        <f t="shared" si="40"/>
        <v>May-22F</v>
      </c>
      <c r="AB52" s="18" t="str">
        <f t="shared" si="40"/>
        <v>Jun-22F</v>
      </c>
      <c r="AC52" s="18" t="str">
        <f t="shared" si="40"/>
        <v>Jul-22F</v>
      </c>
      <c r="AD52" s="18" t="str">
        <f t="shared" si="40"/>
        <v>Aug-22F</v>
      </c>
      <c r="AE52" s="18" t="str">
        <f t="shared" si="40"/>
        <v>Sep-22F</v>
      </c>
      <c r="AF52" s="18" t="str">
        <f t="shared" si="40"/>
        <v>Oct-22F</v>
      </c>
      <c r="AG52" s="18" t="str">
        <f t="shared" si="40"/>
        <v>Nov-22F</v>
      </c>
      <c r="AH52" s="18" t="str">
        <f t="shared" si="40"/>
        <v>Dec-22F</v>
      </c>
      <c r="AJ52" s="18" t="str">
        <f ca="1">AJ$10</f>
        <v>Q3'20A</v>
      </c>
      <c r="AK52" s="18" t="str">
        <f t="shared" ref="AK52:AW52" ca="1" si="41">AK$10</f>
        <v>Q4'20A</v>
      </c>
      <c r="AL52" s="18" t="str">
        <f t="shared" ca="1" si="41"/>
        <v>Q1'21A</v>
      </c>
      <c r="AM52" s="19" t="str">
        <f t="shared" ca="1" si="41"/>
        <v>Q2'21A</v>
      </c>
      <c r="AN52" s="18" t="str">
        <f t="shared" ca="1" si="41"/>
        <v>Q3'21F</v>
      </c>
      <c r="AO52" s="18" t="str">
        <f t="shared" ca="1" si="41"/>
        <v>Q4'21F</v>
      </c>
      <c r="AP52" s="18" t="str">
        <f t="shared" ca="1" si="41"/>
        <v>Q1'22F</v>
      </c>
      <c r="AQ52" s="18" t="str">
        <f t="shared" ca="1" si="41"/>
        <v>Q2'22F</v>
      </c>
      <c r="AR52" s="18" t="str">
        <f t="shared" ca="1" si="41"/>
        <v>Q3'22F</v>
      </c>
      <c r="AS52" s="18" t="str">
        <f t="shared" ca="1" si="41"/>
        <v>Q4'22F</v>
      </c>
      <c r="AU52" s="18" t="str">
        <f t="shared" ca="1" si="41"/>
        <v>FY20</v>
      </c>
      <c r="AV52" s="18" t="str">
        <f t="shared" ca="1" si="41"/>
        <v>FY21</v>
      </c>
      <c r="AW52" s="18" t="str">
        <f t="shared" ca="1" si="41"/>
        <v>FY22</v>
      </c>
    </row>
    <row r="53" spans="1:51" x14ac:dyDescent="0.2">
      <c r="C53" s="20" t="s">
        <v>49</v>
      </c>
      <c r="D53" s="20"/>
      <c r="E53" s="58">
        <v>2741.3151503386998</v>
      </c>
      <c r="F53" s="58">
        <v>2741.3151503386998</v>
      </c>
      <c r="G53" s="58">
        <v>2741.3151503386998</v>
      </c>
      <c r="H53" s="58">
        <v>2741.3151503386998</v>
      </c>
      <c r="I53" s="58">
        <v>2741.3151503386998</v>
      </c>
      <c r="J53" s="59">
        <v>2741.3151503386998</v>
      </c>
      <c r="K53" s="58">
        <v>2741.3151503386998</v>
      </c>
      <c r="L53" s="58">
        <v>2741.3151503386998</v>
      </c>
      <c r="M53" s="58">
        <v>2741.3151503386998</v>
      </c>
      <c r="N53" s="58">
        <v>2741.3151503386998</v>
      </c>
      <c r="O53" s="58">
        <v>2741.3151503386998</v>
      </c>
      <c r="P53" s="60">
        <v>2741.3151503386998</v>
      </c>
      <c r="Q53" s="58">
        <v>2741.3151503386998</v>
      </c>
      <c r="R53" s="58">
        <v>2741.3151503386998</v>
      </c>
      <c r="S53" s="58">
        <v>2741.3151503386998</v>
      </c>
      <c r="T53" s="58">
        <v>2741.3151503386998</v>
      </c>
      <c r="U53" s="58">
        <v>2741.3151503386998</v>
      </c>
      <c r="V53" s="58">
        <v>2741.3151503386998</v>
      </c>
      <c r="W53" s="58">
        <v>2741.3151503386998</v>
      </c>
      <c r="X53" s="58">
        <v>2741.3151503386998</v>
      </c>
      <c r="Y53" s="58">
        <v>2741.3151503386998</v>
      </c>
      <c r="Z53" s="58">
        <v>2741.3151503386998</v>
      </c>
      <c r="AA53" s="58">
        <v>2741.3151503386998</v>
      </c>
      <c r="AB53" s="58">
        <v>2741.3151503386998</v>
      </c>
      <c r="AC53" s="58">
        <v>2741.3151503386998</v>
      </c>
      <c r="AD53" s="58">
        <v>2741.3151503386998</v>
      </c>
      <c r="AE53" s="58">
        <v>2741.3151503386998</v>
      </c>
      <c r="AF53" s="58">
        <v>2741.3151503386998</v>
      </c>
      <c r="AG53" s="58">
        <v>2741.3151503386998</v>
      </c>
      <c r="AH53" s="58">
        <v>2741.3151503386998</v>
      </c>
      <c r="AM53" s="2"/>
    </row>
    <row r="54" spans="1:51" x14ac:dyDescent="0.2">
      <c r="C54" s="20" t="s">
        <v>45</v>
      </c>
      <c r="D54" s="20"/>
      <c r="E54" s="61">
        <v>15</v>
      </c>
      <c r="F54" s="58"/>
      <c r="G54" s="58"/>
      <c r="H54" s="58"/>
      <c r="I54" s="58"/>
      <c r="J54" s="59"/>
      <c r="K54" s="58"/>
      <c r="L54" s="58"/>
      <c r="M54" s="58"/>
      <c r="N54" s="58"/>
      <c r="O54" s="58"/>
      <c r="P54" s="60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M54" s="2"/>
    </row>
    <row r="55" spans="1:51" x14ac:dyDescent="0.2">
      <c r="C55" s="25" t="s">
        <v>50</v>
      </c>
      <c r="D55" s="25"/>
      <c r="E55" s="62">
        <f>1/$E$54/12</f>
        <v>5.5555555555555558E-3</v>
      </c>
      <c r="F55" s="62">
        <f t="shared" ref="F55:AH55" si="42">1/$E$54/12</f>
        <v>5.5555555555555558E-3</v>
      </c>
      <c r="G55" s="62">
        <f t="shared" si="42"/>
        <v>5.5555555555555558E-3</v>
      </c>
      <c r="H55" s="62">
        <f t="shared" si="42"/>
        <v>5.5555555555555558E-3</v>
      </c>
      <c r="I55" s="62">
        <f t="shared" si="42"/>
        <v>5.5555555555555558E-3</v>
      </c>
      <c r="J55" s="62">
        <f t="shared" si="42"/>
        <v>5.5555555555555558E-3</v>
      </c>
      <c r="K55" s="62">
        <f t="shared" si="42"/>
        <v>5.5555555555555558E-3</v>
      </c>
      <c r="L55" s="62">
        <f t="shared" si="42"/>
        <v>5.5555555555555558E-3</v>
      </c>
      <c r="M55" s="62">
        <f t="shared" si="42"/>
        <v>5.5555555555555558E-3</v>
      </c>
      <c r="N55" s="62">
        <f t="shared" si="42"/>
        <v>5.5555555555555558E-3</v>
      </c>
      <c r="O55" s="62">
        <f t="shared" si="42"/>
        <v>5.5555555555555558E-3</v>
      </c>
      <c r="P55" s="62">
        <f t="shared" si="42"/>
        <v>5.5555555555555558E-3</v>
      </c>
      <c r="Q55" s="62">
        <f t="shared" si="42"/>
        <v>5.5555555555555558E-3</v>
      </c>
      <c r="R55" s="62">
        <f t="shared" si="42"/>
        <v>5.5555555555555558E-3</v>
      </c>
      <c r="S55" s="62">
        <f t="shared" si="42"/>
        <v>5.5555555555555558E-3</v>
      </c>
      <c r="T55" s="62">
        <f t="shared" si="42"/>
        <v>5.5555555555555558E-3</v>
      </c>
      <c r="U55" s="62">
        <f t="shared" si="42"/>
        <v>5.5555555555555558E-3</v>
      </c>
      <c r="V55" s="62">
        <f t="shared" si="42"/>
        <v>5.5555555555555558E-3</v>
      </c>
      <c r="W55" s="62">
        <f t="shared" si="42"/>
        <v>5.5555555555555558E-3</v>
      </c>
      <c r="X55" s="62">
        <f t="shared" si="42"/>
        <v>5.5555555555555558E-3</v>
      </c>
      <c r="Y55" s="62">
        <f t="shared" si="42"/>
        <v>5.5555555555555558E-3</v>
      </c>
      <c r="Z55" s="62">
        <f t="shared" si="42"/>
        <v>5.5555555555555558E-3</v>
      </c>
      <c r="AA55" s="62">
        <f t="shared" si="42"/>
        <v>5.5555555555555558E-3</v>
      </c>
      <c r="AB55" s="62">
        <f t="shared" si="42"/>
        <v>5.5555555555555558E-3</v>
      </c>
      <c r="AC55" s="62">
        <f t="shared" si="42"/>
        <v>5.5555555555555558E-3</v>
      </c>
      <c r="AD55" s="62">
        <f t="shared" si="42"/>
        <v>5.5555555555555558E-3</v>
      </c>
      <c r="AE55" s="62">
        <f t="shared" si="42"/>
        <v>5.5555555555555558E-3</v>
      </c>
      <c r="AF55" s="62">
        <f t="shared" si="42"/>
        <v>5.5555555555555558E-3</v>
      </c>
      <c r="AG55" s="62">
        <f t="shared" si="42"/>
        <v>5.5555555555555558E-3</v>
      </c>
      <c r="AH55" s="62">
        <f t="shared" si="42"/>
        <v>5.5555555555555558E-3</v>
      </c>
      <c r="AM55" s="2"/>
      <c r="AY55" t="s">
        <v>51</v>
      </c>
    </row>
    <row r="56" spans="1:51" x14ac:dyDescent="0.2">
      <c r="B56" t="s">
        <v>12</v>
      </c>
      <c r="C56" t="s">
        <v>52</v>
      </c>
      <c r="E56" s="66">
        <f>E53*E55</f>
        <v>15.229528612992777</v>
      </c>
      <c r="F56" s="66">
        <f t="shared" ref="F56:AH56" si="43">F53*F55</f>
        <v>15.229528612992777</v>
      </c>
      <c r="G56" s="66">
        <f t="shared" si="43"/>
        <v>15.229528612992777</v>
      </c>
      <c r="H56" s="66">
        <f t="shared" si="43"/>
        <v>15.229528612992777</v>
      </c>
      <c r="I56" s="66">
        <f t="shared" si="43"/>
        <v>15.229528612992777</v>
      </c>
      <c r="J56" s="66">
        <f t="shared" si="43"/>
        <v>15.229528612992777</v>
      </c>
      <c r="K56" s="66">
        <f t="shared" si="43"/>
        <v>15.229528612992777</v>
      </c>
      <c r="L56" s="66">
        <f t="shared" si="43"/>
        <v>15.229528612992777</v>
      </c>
      <c r="M56" s="66">
        <f t="shared" si="43"/>
        <v>15.229528612992777</v>
      </c>
      <c r="N56" s="66">
        <f t="shared" si="43"/>
        <v>15.229528612992777</v>
      </c>
      <c r="O56" s="66">
        <f t="shared" si="43"/>
        <v>15.229528612992777</v>
      </c>
      <c r="P56" s="66">
        <f t="shared" si="43"/>
        <v>15.229528612992777</v>
      </c>
      <c r="Q56" s="66">
        <f t="shared" si="43"/>
        <v>15.229528612992777</v>
      </c>
      <c r="R56" s="66">
        <f t="shared" si="43"/>
        <v>15.229528612992777</v>
      </c>
      <c r="S56" s="66">
        <f t="shared" si="43"/>
        <v>15.229528612992777</v>
      </c>
      <c r="T56" s="66">
        <f t="shared" si="43"/>
        <v>15.229528612992777</v>
      </c>
      <c r="U56" s="66">
        <f t="shared" si="43"/>
        <v>15.229528612992777</v>
      </c>
      <c r="V56" s="66">
        <f t="shared" si="43"/>
        <v>15.229528612992777</v>
      </c>
      <c r="W56" s="66">
        <f t="shared" si="43"/>
        <v>15.229528612992777</v>
      </c>
      <c r="X56" s="66">
        <f t="shared" si="43"/>
        <v>15.229528612992777</v>
      </c>
      <c r="Y56" s="66">
        <f t="shared" si="43"/>
        <v>15.229528612992777</v>
      </c>
      <c r="Z56" s="66">
        <f t="shared" si="43"/>
        <v>15.229528612992777</v>
      </c>
      <c r="AA56" s="66">
        <f t="shared" si="43"/>
        <v>15.229528612992777</v>
      </c>
      <c r="AB56" s="66">
        <f t="shared" si="43"/>
        <v>15.229528612992777</v>
      </c>
      <c r="AC56" s="66">
        <f t="shared" si="43"/>
        <v>15.229528612992777</v>
      </c>
      <c r="AD56" s="66">
        <f t="shared" si="43"/>
        <v>15.229528612992777</v>
      </c>
      <c r="AE56" s="66">
        <f t="shared" si="43"/>
        <v>15.229528612992777</v>
      </c>
      <c r="AF56" s="66">
        <f t="shared" si="43"/>
        <v>15.229528612992777</v>
      </c>
      <c r="AG56" s="66">
        <f t="shared" si="43"/>
        <v>15.229528612992777</v>
      </c>
      <c r="AH56" s="66">
        <f t="shared" si="43"/>
        <v>15.229528612992777</v>
      </c>
      <c r="AJ56" s="22" cm="1">
        <f t="array" aca="1" ref="AJ56" ca="1">SUMPRODUCT(($E56:$AH56)*(AJ$3&amp;AJ$4&amp;AJ$5&amp;AJ$6=$E$3:$AH$3&amp;$E$4:$AH$4&amp;$E$5:$AH$5&amp;$E$6:$AH$6))</f>
        <v>45.688585838978327</v>
      </c>
      <c r="AK56" s="22" cm="1">
        <f t="array" aca="1" ref="AK56" ca="1">SUMPRODUCT(($E56:$AH56)*(AK$3=$E$3:$AH$3)*(AK$4=$E$4:$AH$4)*(AK$5=$E$5:$AH$5)*(AK$6=$E$6:$AH$6))</f>
        <v>45.688585838978327</v>
      </c>
      <c r="AL56" s="22" cm="1">
        <f t="array" aca="1" ref="AL56" ca="1">SUMPRODUCT(($E56:$AH56)*(AL$3=$E$3:$AH$3)*(AL$4=$E$4:$AH$4)*(AL$5=$E$5:$AH$5)*(AL$6=$E$6:$AH$6))</f>
        <v>45.688585838978327</v>
      </c>
      <c r="AM56" s="23" cm="1">
        <f t="array" aca="1" ref="AM56" ca="1">SUMPRODUCT(($E56:$AH56)*(AM$3=$E$3:$AH$3)*(AM$4=$E$4:$AH$4)*(AM$5=$E$5:$AH$5)*(AM$6=$E$6:$AH$6))</f>
        <v>45.688585838978327</v>
      </c>
      <c r="AN56" s="22" cm="1">
        <f t="array" aca="1" ref="AN56" ca="1">SUMPRODUCT(($E56:$AH56)*(AN$3=$E$3:$AH$3)*(AN$4=$E$4:$AH$4)*(AN$5=$E$5:$AH$5)*(AN$6=$E$6:$AH$6))</f>
        <v>45.688585838978327</v>
      </c>
      <c r="AO56" s="22" cm="1">
        <f t="array" aca="1" ref="AO56" ca="1">SUMPRODUCT(($E56:$AH56)*(AO$3=$E$3:$AH$3)*(AO$4=$E$4:$AH$4)*(AO$5=$E$5:$AH$5)*(AO$6=$E$6:$AH$6))</f>
        <v>45.688585838978327</v>
      </c>
      <c r="AP56" s="22" cm="1">
        <f t="array" aca="1" ref="AP56" ca="1">SUMPRODUCT(($E56:$AH56)*(AP$3=$E$3:$AH$3)*(AP$4=$E$4:$AH$4)*(AP$5=$E$5:$AH$5)*(AP$6=$E$6:$AH$6))</f>
        <v>45.688585838978327</v>
      </c>
      <c r="AQ56" s="22" cm="1">
        <f t="array" aca="1" ref="AQ56" ca="1">SUMPRODUCT(($E56:$AH56)*(AQ$3=$E$3:$AH$3)*(AQ$4=$E$4:$AH$4)*(AQ$5=$E$5:$AH$5)*(AQ$6=$E$6:$AH$6))</f>
        <v>45.688585838978327</v>
      </c>
      <c r="AR56" s="22" cm="1">
        <f t="array" aca="1" ref="AR56" ca="1">SUMPRODUCT(($E56:$AH56)*(AR$3=$E$3:$AH$3)*(AR$4=$E$4:$AH$4)*(AR$5=$E$5:$AH$5)*(AR$6=$E$6:$AH$6))</f>
        <v>45.688585838978327</v>
      </c>
      <c r="AS56" s="22" cm="1">
        <f t="array" aca="1" ref="AS56" ca="1">SUMPRODUCT(($E56:$AH56)*(AS$3=$E$3:$AH$3)*(AS$4=$E$4:$AH$4)*(AS$5=$E$5:$AH$5)*(AS$6=$E$6:$AH$6))</f>
        <v>45.688585838978327</v>
      </c>
      <c r="AT56" s="22"/>
      <c r="AU56" s="22" cm="1">
        <f t="array" aca="1" ref="AU56" ca="1">SUMPRODUCT(($E56:$AH56)*(AU$5=$E$5:$AH$5))</f>
        <v>91.377171677956667</v>
      </c>
      <c r="AV56" s="22" cm="1">
        <f t="array" aca="1" ref="AV56" ca="1">SUMPRODUCT(($E56:$AH56)*(AV$5=$E$5:$AH$5))</f>
        <v>182.75434335591331</v>
      </c>
      <c r="AW56" s="22" cm="1">
        <f t="array" aca="1" ref="AW56" ca="1">SUMPRODUCT(($E56:$AH56)*(AW$5=$E$5:$AH$5))</f>
        <v>182.75434335591331</v>
      </c>
    </row>
    <row r="57" spans="1:51" x14ac:dyDescent="0.2"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63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M57" s="2"/>
      <c r="AT57" s="22"/>
    </row>
    <row r="58" spans="1:51" ht="16" thickBot="1" x14ac:dyDescent="0.25">
      <c r="B58" t="s">
        <v>12</v>
      </c>
      <c r="C58" s="34" t="s">
        <v>53</v>
      </c>
      <c r="D58" s="34"/>
      <c r="E58" s="67">
        <f>E50+E56</f>
        <v>40.152228546533621</v>
      </c>
      <c r="F58" s="67">
        <f t="shared" ref="F58:AH58" si="44">F50+F56</f>
        <v>40.152228546533621</v>
      </c>
      <c r="G58" s="67">
        <f t="shared" si="44"/>
        <v>40.152228546533621</v>
      </c>
      <c r="H58" s="67">
        <f t="shared" si="44"/>
        <v>40.152228546533621</v>
      </c>
      <c r="I58" s="67">
        <f t="shared" si="44"/>
        <v>40.152228546533621</v>
      </c>
      <c r="J58" s="67">
        <f t="shared" si="44"/>
        <v>40.152228546533621</v>
      </c>
      <c r="K58" s="67">
        <f t="shared" si="44"/>
        <v>40.152228546533621</v>
      </c>
      <c r="L58" s="67">
        <f t="shared" si="44"/>
        <v>40.152228546533621</v>
      </c>
      <c r="M58" s="67">
        <f t="shared" si="44"/>
        <v>40.152228546533621</v>
      </c>
      <c r="N58" s="67">
        <f t="shared" si="44"/>
        <v>40.152228546533621</v>
      </c>
      <c r="O58" s="67">
        <f t="shared" si="44"/>
        <v>40.152228546533621</v>
      </c>
      <c r="P58" s="67">
        <f t="shared" si="44"/>
        <v>40.152228546533621</v>
      </c>
      <c r="Q58" s="67">
        <f t="shared" si="44"/>
        <v>40.152228546533621</v>
      </c>
      <c r="R58" s="67">
        <f t="shared" si="44"/>
        <v>40.152228546533621</v>
      </c>
      <c r="S58" s="67">
        <f t="shared" si="44"/>
        <v>40.152228546533621</v>
      </c>
      <c r="T58" s="67">
        <f t="shared" si="44"/>
        <v>40.152228546533621</v>
      </c>
      <c r="U58" s="67">
        <f t="shared" si="44"/>
        <v>40.152228546533621</v>
      </c>
      <c r="V58" s="67">
        <f t="shared" si="44"/>
        <v>40.152228546533621</v>
      </c>
      <c r="W58" s="67">
        <f t="shared" si="44"/>
        <v>40.152228546533621</v>
      </c>
      <c r="X58" s="67">
        <f t="shared" si="44"/>
        <v>40.152228546533621</v>
      </c>
      <c r="Y58" s="67">
        <f t="shared" si="44"/>
        <v>40.152228546533621</v>
      </c>
      <c r="Z58" s="67">
        <f t="shared" si="44"/>
        <v>40.152228546533621</v>
      </c>
      <c r="AA58" s="67">
        <f t="shared" si="44"/>
        <v>40.152228546533621</v>
      </c>
      <c r="AB58" s="67">
        <f t="shared" si="44"/>
        <v>40.152228546533621</v>
      </c>
      <c r="AC58" s="67">
        <f t="shared" si="44"/>
        <v>40.152228546533621</v>
      </c>
      <c r="AD58" s="67">
        <f t="shared" si="44"/>
        <v>40.152228546533621</v>
      </c>
      <c r="AE58" s="67">
        <f t="shared" si="44"/>
        <v>40.152228546533621</v>
      </c>
      <c r="AF58" s="67">
        <f t="shared" si="44"/>
        <v>40.152228546533621</v>
      </c>
      <c r="AG58" s="67">
        <f t="shared" si="44"/>
        <v>40.152228546533621</v>
      </c>
      <c r="AH58" s="67">
        <f t="shared" si="44"/>
        <v>40.152228546533621</v>
      </c>
      <c r="AJ58" s="67">
        <f t="shared" ref="AJ58:AW58" ca="1" si="45">AJ50+AJ56</f>
        <v>120.45668563960086</v>
      </c>
      <c r="AK58" s="67">
        <f t="shared" ca="1" si="45"/>
        <v>120.45668563960086</v>
      </c>
      <c r="AL58" s="67">
        <f t="shared" ca="1" si="45"/>
        <v>120.45668563960086</v>
      </c>
      <c r="AM58" s="68">
        <f t="shared" ca="1" si="45"/>
        <v>120.45668563960086</v>
      </c>
      <c r="AN58" s="67">
        <f t="shared" ca="1" si="45"/>
        <v>120.45668563960086</v>
      </c>
      <c r="AO58" s="67">
        <f t="shared" ca="1" si="45"/>
        <v>120.45668563960086</v>
      </c>
      <c r="AP58" s="67">
        <f t="shared" ca="1" si="45"/>
        <v>120.45668563960086</v>
      </c>
      <c r="AQ58" s="67">
        <f t="shared" ca="1" si="45"/>
        <v>120.45668563960086</v>
      </c>
      <c r="AR58" s="67">
        <f t="shared" ca="1" si="45"/>
        <v>120.45668563960086</v>
      </c>
      <c r="AS58" s="67">
        <f t="shared" ca="1" si="45"/>
        <v>120.45668563960086</v>
      </c>
      <c r="AT58" s="22"/>
      <c r="AU58" s="67">
        <f t="shared" ca="1" si="45"/>
        <v>240.91337127920178</v>
      </c>
      <c r="AV58" s="67">
        <f t="shared" ca="1" si="45"/>
        <v>481.82674255840351</v>
      </c>
      <c r="AW58" s="67">
        <f t="shared" ca="1" si="45"/>
        <v>481.82674255840351</v>
      </c>
    </row>
    <row r="59" spans="1:51" ht="16" thickTop="1" x14ac:dyDescent="0.2">
      <c r="AT59" s="22"/>
    </row>
    <row r="60" spans="1:51" ht="19" x14ac:dyDescent="0.25">
      <c r="A60" t="s">
        <v>12</v>
      </c>
      <c r="C60" s="38" t="s">
        <v>54</v>
      </c>
      <c r="D60" s="3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</row>
    <row r="61" spans="1:51" x14ac:dyDescent="0.2">
      <c r="C61" s="16"/>
      <c r="D61" s="16"/>
      <c r="Q61" t="s">
        <v>55</v>
      </c>
    </row>
    <row r="62" spans="1:51" x14ac:dyDescent="0.2">
      <c r="C62" s="17" t="s">
        <v>56</v>
      </c>
      <c r="D62" s="17"/>
      <c r="E62" s="18" t="str">
        <f t="shared" ref="E62:AH62" si="46">E$9</f>
        <v>Jul-20A</v>
      </c>
      <c r="F62" s="18" t="str">
        <f t="shared" si="46"/>
        <v>Aug-20A</v>
      </c>
      <c r="G62" s="18" t="str">
        <f t="shared" si="46"/>
        <v>Sep-20A</v>
      </c>
      <c r="H62" s="18" t="str">
        <f t="shared" si="46"/>
        <v>Oct-20A</v>
      </c>
      <c r="I62" s="18" t="str">
        <f t="shared" si="46"/>
        <v>Nov-20A</v>
      </c>
      <c r="J62" s="18" t="str">
        <f t="shared" si="46"/>
        <v>Dec-20A</v>
      </c>
      <c r="K62" s="18" t="str">
        <f t="shared" si="46"/>
        <v>Jan-21A</v>
      </c>
      <c r="L62" s="18" t="str">
        <f t="shared" si="46"/>
        <v>Feb-21A</v>
      </c>
      <c r="M62" s="18" t="str">
        <f t="shared" si="46"/>
        <v>Mar-21A</v>
      </c>
      <c r="N62" s="18" t="str">
        <f t="shared" si="46"/>
        <v>Apr-21A</v>
      </c>
      <c r="O62" s="18" t="str">
        <f t="shared" si="46"/>
        <v>May-21A</v>
      </c>
      <c r="P62" s="19" t="str">
        <f t="shared" si="46"/>
        <v>Jun-21A</v>
      </c>
      <c r="Q62" s="18" t="str">
        <f t="shared" si="46"/>
        <v>Jul-21F</v>
      </c>
      <c r="R62" s="18" t="str">
        <f t="shared" si="46"/>
        <v>Aug-21F</v>
      </c>
      <c r="S62" s="18" t="str">
        <f t="shared" si="46"/>
        <v>Sep-21F</v>
      </c>
      <c r="T62" s="18" t="str">
        <f t="shared" si="46"/>
        <v>Oct-21F</v>
      </c>
      <c r="U62" s="18" t="str">
        <f t="shared" si="46"/>
        <v>Nov-21F</v>
      </c>
      <c r="V62" s="18" t="str">
        <f t="shared" si="46"/>
        <v>Dec-21F</v>
      </c>
      <c r="W62" s="18" t="str">
        <f t="shared" si="46"/>
        <v>Jan-22F</v>
      </c>
      <c r="X62" s="18" t="str">
        <f t="shared" si="46"/>
        <v>Feb-22F</v>
      </c>
      <c r="Y62" s="18" t="str">
        <f t="shared" si="46"/>
        <v>Mar-22F</v>
      </c>
      <c r="Z62" s="18" t="str">
        <f t="shared" si="46"/>
        <v>Apr-22F</v>
      </c>
      <c r="AA62" s="18" t="str">
        <f t="shared" si="46"/>
        <v>May-22F</v>
      </c>
      <c r="AB62" s="18" t="str">
        <f t="shared" si="46"/>
        <v>Jun-22F</v>
      </c>
      <c r="AC62" s="18" t="str">
        <f t="shared" si="46"/>
        <v>Jul-22F</v>
      </c>
      <c r="AD62" s="18" t="str">
        <f t="shared" si="46"/>
        <v>Aug-22F</v>
      </c>
      <c r="AE62" s="18" t="str">
        <f t="shared" si="46"/>
        <v>Sep-22F</v>
      </c>
      <c r="AF62" s="18" t="str">
        <f t="shared" si="46"/>
        <v>Oct-22F</v>
      </c>
      <c r="AG62" s="18" t="str">
        <f t="shared" si="46"/>
        <v>Nov-22F</v>
      </c>
      <c r="AH62" s="18" t="str">
        <f t="shared" si="46"/>
        <v>Dec-22F</v>
      </c>
      <c r="AJ62" s="18" t="str">
        <f ca="1">AJ$10</f>
        <v>Q3'20A</v>
      </c>
      <c r="AK62" s="18" t="str">
        <f t="shared" ref="AK62:AW62" ca="1" si="47">AK$10</f>
        <v>Q4'20A</v>
      </c>
      <c r="AL62" s="18" t="str">
        <f t="shared" ca="1" si="47"/>
        <v>Q1'21A</v>
      </c>
      <c r="AM62" s="19" t="str">
        <f t="shared" ca="1" si="47"/>
        <v>Q2'21A</v>
      </c>
      <c r="AN62" s="18" t="str">
        <f t="shared" ca="1" si="47"/>
        <v>Q3'21F</v>
      </c>
      <c r="AO62" s="18" t="str">
        <f t="shared" ca="1" si="47"/>
        <v>Q4'21F</v>
      </c>
      <c r="AP62" s="18" t="str">
        <f t="shared" ca="1" si="47"/>
        <v>Q1'22F</v>
      </c>
      <c r="AQ62" s="18" t="str">
        <f t="shared" ca="1" si="47"/>
        <v>Q2'22F</v>
      </c>
      <c r="AR62" s="18" t="str">
        <f t="shared" ca="1" si="47"/>
        <v>Q3'22F</v>
      </c>
      <c r="AS62" s="18" t="str">
        <f t="shared" ca="1" si="47"/>
        <v>Q4'22F</v>
      </c>
      <c r="AU62" s="18" t="str">
        <f t="shared" ca="1" si="47"/>
        <v>FY20</v>
      </c>
      <c r="AV62" s="18" t="str">
        <f t="shared" ca="1" si="47"/>
        <v>FY21</v>
      </c>
      <c r="AW62" s="18" t="str">
        <f t="shared" ca="1" si="47"/>
        <v>FY22</v>
      </c>
    </row>
    <row r="63" spans="1:51" x14ac:dyDescent="0.2">
      <c r="C63" s="20" t="s">
        <v>57</v>
      </c>
      <c r="D63" s="20"/>
      <c r="E63" s="41">
        <v>20</v>
      </c>
      <c r="F63" s="41">
        <v>20</v>
      </c>
      <c r="G63" s="41">
        <v>20</v>
      </c>
      <c r="H63" s="41">
        <v>20</v>
      </c>
      <c r="I63" s="41">
        <v>20</v>
      </c>
      <c r="J63" s="41">
        <v>20</v>
      </c>
      <c r="K63" s="41">
        <v>20</v>
      </c>
      <c r="L63" s="41">
        <v>20</v>
      </c>
      <c r="M63" s="41">
        <v>20</v>
      </c>
      <c r="N63" s="41">
        <v>20</v>
      </c>
      <c r="O63" s="41">
        <v>20</v>
      </c>
      <c r="P63" s="42">
        <v>20</v>
      </c>
      <c r="Q63" s="41">
        <f>P63</f>
        <v>20</v>
      </c>
      <c r="R63" s="41">
        <f t="shared" ref="R63:AH63" si="48">Q63</f>
        <v>20</v>
      </c>
      <c r="S63" s="41">
        <f t="shared" si="48"/>
        <v>20</v>
      </c>
      <c r="T63" s="41">
        <f t="shared" si="48"/>
        <v>20</v>
      </c>
      <c r="U63" s="41">
        <f t="shared" si="48"/>
        <v>20</v>
      </c>
      <c r="V63" s="41">
        <f t="shared" si="48"/>
        <v>20</v>
      </c>
      <c r="W63" s="41">
        <f t="shared" si="48"/>
        <v>20</v>
      </c>
      <c r="X63" s="41">
        <f t="shared" si="48"/>
        <v>20</v>
      </c>
      <c r="Y63" s="41">
        <f t="shared" si="48"/>
        <v>20</v>
      </c>
      <c r="Z63" s="41">
        <f t="shared" si="48"/>
        <v>20</v>
      </c>
      <c r="AA63" s="41">
        <f t="shared" si="48"/>
        <v>20</v>
      </c>
      <c r="AB63" s="41">
        <f t="shared" si="48"/>
        <v>20</v>
      </c>
      <c r="AC63" s="41">
        <f t="shared" si="48"/>
        <v>20</v>
      </c>
      <c r="AD63" s="41">
        <f t="shared" si="48"/>
        <v>20</v>
      </c>
      <c r="AE63" s="41">
        <f t="shared" si="48"/>
        <v>20</v>
      </c>
      <c r="AF63" s="41">
        <f t="shared" si="48"/>
        <v>20</v>
      </c>
      <c r="AG63" s="41">
        <f t="shared" si="48"/>
        <v>20</v>
      </c>
      <c r="AH63" s="41">
        <f t="shared" si="48"/>
        <v>20</v>
      </c>
      <c r="AJ63" s="22" cm="1">
        <f t="array" aca="1" ref="AJ63" ca="1">SUMPRODUCT(($E63:$AH63)*(AJ$3&amp;AJ$4&amp;AJ$5&amp;AJ$6=$E$3:$AH$3&amp;$E$4:$AH$4&amp;$E$5:$AH$5&amp;$E$6:$AH$6))</f>
        <v>60</v>
      </c>
      <c r="AK63" s="22" cm="1">
        <f t="array" aca="1" ref="AK63" ca="1">SUMPRODUCT(($E63:$AH63)*(AK$3=$E$3:$AH$3)*(AK$4=$E$4:$AH$4)*(AK$5=$E$5:$AH$5)*(AK$6=$E$6:$AH$6))</f>
        <v>60</v>
      </c>
      <c r="AL63" s="22" cm="1">
        <f t="array" aca="1" ref="AL63" ca="1">SUMPRODUCT(($E63:$AH63)*(AL$3=$E$3:$AH$3)*(AL$4=$E$4:$AH$4)*(AL$5=$E$5:$AH$5)*(AL$6=$E$6:$AH$6))</f>
        <v>60</v>
      </c>
      <c r="AM63" s="23" cm="1">
        <f t="array" aca="1" ref="AM63" ca="1">SUMPRODUCT(($E63:$AH63)*(AM$3=$E$3:$AH$3)*(AM$4=$E$4:$AH$4)*(AM$5=$E$5:$AH$5)*(AM$6=$E$6:$AH$6))</f>
        <v>60</v>
      </c>
      <c r="AN63" s="22" cm="1">
        <f t="array" aca="1" ref="AN63" ca="1">SUMPRODUCT(($E63:$AH63)*(AN$3=$E$3:$AH$3)*(AN$4=$E$4:$AH$4)*(AN$5=$E$5:$AH$5)*(AN$6=$E$6:$AH$6))</f>
        <v>60</v>
      </c>
      <c r="AO63" s="22" cm="1">
        <f t="array" aca="1" ref="AO63" ca="1">SUMPRODUCT(($E63:$AH63)*(AO$3=$E$3:$AH$3)*(AO$4=$E$4:$AH$4)*(AO$5=$E$5:$AH$5)*(AO$6=$E$6:$AH$6))</f>
        <v>60</v>
      </c>
      <c r="AP63" s="22" cm="1">
        <f t="array" aca="1" ref="AP63" ca="1">SUMPRODUCT(($E63:$AH63)*(AP$3=$E$3:$AH$3)*(AP$4=$E$4:$AH$4)*(AP$5=$E$5:$AH$5)*(AP$6=$E$6:$AH$6))</f>
        <v>60</v>
      </c>
      <c r="AQ63" s="22" cm="1">
        <f t="array" aca="1" ref="AQ63" ca="1">SUMPRODUCT(($E63:$AH63)*(AQ$3=$E$3:$AH$3)*(AQ$4=$E$4:$AH$4)*(AQ$5=$E$5:$AH$5)*(AQ$6=$E$6:$AH$6))</f>
        <v>60</v>
      </c>
      <c r="AR63" s="22" cm="1">
        <f t="array" aca="1" ref="AR63" ca="1">SUMPRODUCT(($E63:$AH63)*(AR$3=$E$3:$AH$3)*(AR$4=$E$4:$AH$4)*(AR$5=$E$5:$AH$5)*(AR$6=$E$6:$AH$6))</f>
        <v>60</v>
      </c>
      <c r="AS63" s="22" cm="1">
        <f t="array" aca="1" ref="AS63" ca="1">SUMPRODUCT(($E63:$AH63)*(AS$3=$E$3:$AH$3)*(AS$4=$E$4:$AH$4)*(AS$5=$E$5:$AH$5)*(AS$6=$E$6:$AH$6))</f>
        <v>60</v>
      </c>
      <c r="AT63" s="22"/>
      <c r="AU63" s="22" cm="1">
        <f t="array" aca="1" ref="AU63" ca="1">SUMPRODUCT(($E63:$AH63)*(AU$5=$E$5:$AH$5))</f>
        <v>120</v>
      </c>
      <c r="AV63" s="22" cm="1">
        <f t="array" aca="1" ref="AV63" ca="1">SUMPRODUCT(($E63:$AH63)*(AV$5=$E$5:$AH$5))</f>
        <v>240</v>
      </c>
      <c r="AW63" s="22" cm="1">
        <f t="array" aca="1" ref="AW63" ca="1">SUMPRODUCT(($E63:$AH63)*(AW$5=$E$5:$AH$5))</f>
        <v>240</v>
      </c>
      <c r="AY63" t="s">
        <v>58</v>
      </c>
    </row>
    <row r="64" spans="1:51" x14ac:dyDescent="0.2">
      <c r="C64" s="20"/>
      <c r="D64" s="20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70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M64" s="2"/>
    </row>
    <row r="65" spans="2:51" x14ac:dyDescent="0.2">
      <c r="C65" s="71" t="s">
        <v>59</v>
      </c>
      <c r="D65" s="71"/>
      <c r="E65" s="72">
        <v>562156.14399295638</v>
      </c>
      <c r="F65" s="73">
        <v>510019.4799592988</v>
      </c>
      <c r="G65" s="73">
        <v>445820.06756894174</v>
      </c>
      <c r="H65" s="73">
        <v>482398.56433098071</v>
      </c>
      <c r="I65" s="73">
        <v>436327.2045244457</v>
      </c>
      <c r="J65" s="74">
        <v>499924.43905241793</v>
      </c>
      <c r="K65" s="73">
        <v>552765.61098046007</v>
      </c>
      <c r="L65" s="73">
        <v>501178.11713189777</v>
      </c>
      <c r="M65" s="73">
        <v>446926.32853247412</v>
      </c>
      <c r="N65" s="73">
        <v>547431.37831900653</v>
      </c>
      <c r="O65" s="73">
        <v>528162.20087648602</v>
      </c>
      <c r="P65" s="75">
        <v>564446.39314614469</v>
      </c>
      <c r="Q65" s="74">
        <v>587994.52948646969</v>
      </c>
      <c r="R65" s="74">
        <v>533577.84208116191</v>
      </c>
      <c r="S65" s="74">
        <v>466438.41506550455</v>
      </c>
      <c r="T65" s="74">
        <v>504788.95606071199</v>
      </c>
      <c r="U65" s="74">
        <v>456603.6797789869</v>
      </c>
      <c r="V65" s="74">
        <v>523079.80223329831</v>
      </c>
      <c r="W65" s="74">
        <v>578335.72805929102</v>
      </c>
      <c r="X65" s="74">
        <v>524334.7196004251</v>
      </c>
      <c r="Y65" s="74">
        <v>467560.13096466631</v>
      </c>
      <c r="Z65" s="74">
        <v>572773.8595834733</v>
      </c>
      <c r="AA65" s="74">
        <v>552512.38495409349</v>
      </c>
      <c r="AB65" s="74">
        <v>590538.35370230279</v>
      </c>
      <c r="AC65" s="74">
        <v>615115.67559824907</v>
      </c>
      <c r="AD65" s="74">
        <v>558311.92250331491</v>
      </c>
      <c r="AE65" s="74">
        <v>488088.28604118986</v>
      </c>
      <c r="AF65" s="74">
        <v>528301.08785546653</v>
      </c>
      <c r="AG65" s="74">
        <v>477897.25248702377</v>
      </c>
      <c r="AH65" s="74">
        <v>547393.92870528845</v>
      </c>
      <c r="AM65" s="2"/>
      <c r="AY65" t="s">
        <v>60</v>
      </c>
    </row>
    <row r="66" spans="2:51" x14ac:dyDescent="0.2">
      <c r="C66" s="71" t="s">
        <v>61</v>
      </c>
      <c r="D66" s="71"/>
      <c r="E66" s="76">
        <f>E67*1000/E65</f>
        <v>3.0000000000000002E-2</v>
      </c>
      <c r="F66" s="76">
        <f t="shared" ref="F66:P66" si="49">F67*1000/F65</f>
        <v>0.03</v>
      </c>
      <c r="G66" s="76">
        <f t="shared" si="49"/>
        <v>0.03</v>
      </c>
      <c r="H66" s="76">
        <f t="shared" si="49"/>
        <v>0.03</v>
      </c>
      <c r="I66" s="76">
        <f t="shared" si="49"/>
        <v>0.03</v>
      </c>
      <c r="J66" s="76">
        <f t="shared" si="49"/>
        <v>0.03</v>
      </c>
      <c r="K66" s="76">
        <f t="shared" si="49"/>
        <v>0.03</v>
      </c>
      <c r="L66" s="76">
        <f t="shared" si="49"/>
        <v>0.03</v>
      </c>
      <c r="M66" s="76">
        <f t="shared" si="49"/>
        <v>0.03</v>
      </c>
      <c r="N66" s="76">
        <f t="shared" si="49"/>
        <v>0.03</v>
      </c>
      <c r="O66" s="76">
        <f t="shared" si="49"/>
        <v>0.03</v>
      </c>
      <c r="P66" s="77">
        <f t="shared" si="49"/>
        <v>0.03</v>
      </c>
      <c r="Q66" s="76">
        <f>AVERAGE($K$66:$P$66)</f>
        <v>0.03</v>
      </c>
      <c r="R66" s="76">
        <f t="shared" ref="R66:AH66" si="50">AVERAGE($K$66:$P$66)</f>
        <v>0.03</v>
      </c>
      <c r="S66" s="76">
        <f t="shared" si="50"/>
        <v>0.03</v>
      </c>
      <c r="T66" s="76">
        <f t="shared" si="50"/>
        <v>0.03</v>
      </c>
      <c r="U66" s="76">
        <f t="shared" si="50"/>
        <v>0.03</v>
      </c>
      <c r="V66" s="76">
        <f t="shared" si="50"/>
        <v>0.03</v>
      </c>
      <c r="W66" s="76">
        <f t="shared" si="50"/>
        <v>0.03</v>
      </c>
      <c r="X66" s="76">
        <f t="shared" si="50"/>
        <v>0.03</v>
      </c>
      <c r="Y66" s="76">
        <f t="shared" si="50"/>
        <v>0.03</v>
      </c>
      <c r="Z66" s="76">
        <f t="shared" si="50"/>
        <v>0.03</v>
      </c>
      <c r="AA66" s="76">
        <f t="shared" si="50"/>
        <v>0.03</v>
      </c>
      <c r="AB66" s="76">
        <f t="shared" si="50"/>
        <v>0.03</v>
      </c>
      <c r="AC66" s="76">
        <f t="shared" si="50"/>
        <v>0.03</v>
      </c>
      <c r="AD66" s="76">
        <f t="shared" si="50"/>
        <v>0.03</v>
      </c>
      <c r="AE66" s="76">
        <f t="shared" si="50"/>
        <v>0.03</v>
      </c>
      <c r="AF66" s="76">
        <f t="shared" si="50"/>
        <v>0.03</v>
      </c>
      <c r="AG66" s="76">
        <f t="shared" si="50"/>
        <v>0.03</v>
      </c>
      <c r="AH66" s="76">
        <f t="shared" si="50"/>
        <v>0.03</v>
      </c>
      <c r="AM66" s="2"/>
      <c r="AY66" t="s">
        <v>62</v>
      </c>
    </row>
    <row r="67" spans="2:51" x14ac:dyDescent="0.2">
      <c r="C67" s="20" t="s">
        <v>63</v>
      </c>
      <c r="D67" s="20"/>
      <c r="E67" s="41">
        <v>16.86468431978869</v>
      </c>
      <c r="F67" s="41">
        <v>15.300584398778962</v>
      </c>
      <c r="G67" s="41">
        <v>13.374602027068251</v>
      </c>
      <c r="H67" s="41">
        <v>14.471956929929419</v>
      </c>
      <c r="I67" s="41">
        <v>13.08981613573337</v>
      </c>
      <c r="J67" s="41">
        <v>14.997733171572538</v>
      </c>
      <c r="K67" s="41">
        <v>16.582968329413802</v>
      </c>
      <c r="L67" s="41">
        <v>15.035343513956931</v>
      </c>
      <c r="M67" s="41">
        <v>13.407789855974222</v>
      </c>
      <c r="N67" s="41">
        <v>16.422941349570195</v>
      </c>
      <c r="O67" s="41">
        <v>15.84486602629458</v>
      </c>
      <c r="P67" s="42">
        <v>16.933391794384342</v>
      </c>
      <c r="Q67" s="22">
        <f>Q65*Q66/1000</f>
        <v>17.639835884594088</v>
      </c>
      <c r="R67" s="22">
        <f t="shared" ref="R67:AH67" si="51">R65*R66/1000</f>
        <v>16.007335262434857</v>
      </c>
      <c r="S67" s="22">
        <f t="shared" si="51"/>
        <v>13.993152451965136</v>
      </c>
      <c r="T67" s="22">
        <f t="shared" si="51"/>
        <v>15.143668681821358</v>
      </c>
      <c r="U67" s="22">
        <f t="shared" si="51"/>
        <v>13.698110393369607</v>
      </c>
      <c r="V67" s="22">
        <f t="shared" si="51"/>
        <v>15.692394066998947</v>
      </c>
      <c r="W67" s="22">
        <f t="shared" si="51"/>
        <v>17.350071841778728</v>
      </c>
      <c r="X67" s="22">
        <f t="shared" si="51"/>
        <v>15.730041588012753</v>
      </c>
      <c r="Y67" s="22">
        <f t="shared" si="51"/>
        <v>14.026803928939989</v>
      </c>
      <c r="Z67" s="22">
        <f t="shared" si="51"/>
        <v>17.183215787504199</v>
      </c>
      <c r="AA67" s="22">
        <f t="shared" si="51"/>
        <v>16.575371548622805</v>
      </c>
      <c r="AB67" s="22">
        <f t="shared" si="51"/>
        <v>17.716150611069082</v>
      </c>
      <c r="AC67" s="22">
        <f t="shared" si="51"/>
        <v>18.453470267947473</v>
      </c>
      <c r="AD67" s="22">
        <f t="shared" si="51"/>
        <v>16.749357675099446</v>
      </c>
      <c r="AE67" s="22">
        <f t="shared" si="51"/>
        <v>14.642648581235695</v>
      </c>
      <c r="AF67" s="22">
        <f t="shared" si="51"/>
        <v>15.849032635663994</v>
      </c>
      <c r="AG67" s="22">
        <f t="shared" si="51"/>
        <v>14.336917574610712</v>
      </c>
      <c r="AH67" s="22">
        <f t="shared" si="51"/>
        <v>16.421817861158651</v>
      </c>
      <c r="AJ67" s="22" cm="1">
        <f t="array" aca="1" ref="AJ67" ca="1">SUMPRODUCT(($E67:$AH67)*(AJ$3&amp;AJ$4&amp;AJ$5&amp;AJ$6=$E$3:$AH$3&amp;$E$4:$AH$4&amp;$E$5:$AH$5&amp;$E$6:$AH$6))</f>
        <v>45.539870745635902</v>
      </c>
      <c r="AK67" s="22" cm="1">
        <f t="array" aca="1" ref="AK67" ca="1">SUMPRODUCT(($E67:$AH67)*(AK$3=$E$3:$AH$3)*(AK$4=$E$4:$AH$4)*(AK$5=$E$5:$AH$5)*(AK$6=$E$6:$AH$6))</f>
        <v>42.559506237235325</v>
      </c>
      <c r="AL67" s="22" cm="1">
        <f t="array" aca="1" ref="AL67" ca="1">SUMPRODUCT(($E67:$AH67)*(AL$3=$E$3:$AH$3)*(AL$4=$E$4:$AH$4)*(AL$5=$E$5:$AH$5)*(AL$6=$E$6:$AH$6))</f>
        <v>45.026101699344956</v>
      </c>
      <c r="AM67" s="23" cm="1">
        <f t="array" aca="1" ref="AM67" ca="1">SUMPRODUCT(($E67:$AH67)*(AM$3=$E$3:$AH$3)*(AM$4=$E$4:$AH$4)*(AM$5=$E$5:$AH$5)*(AM$6=$E$6:$AH$6))</f>
        <v>49.201199170249119</v>
      </c>
      <c r="AN67" s="22" cm="1">
        <f t="array" aca="1" ref="AN67" ca="1">SUMPRODUCT(($E67:$AH67)*(AN$3=$E$3:$AH$3)*(AN$4=$E$4:$AH$4)*(AN$5=$E$5:$AH$5)*(AN$6=$E$6:$AH$6))</f>
        <v>47.64032359899408</v>
      </c>
      <c r="AO67" s="22" cm="1">
        <f t="array" aca="1" ref="AO67" ca="1">SUMPRODUCT(($E67:$AH67)*(AO$3=$E$3:$AH$3)*(AO$4=$E$4:$AH$4)*(AO$5=$E$5:$AH$5)*(AO$6=$E$6:$AH$6))</f>
        <v>44.534173142189914</v>
      </c>
      <c r="AP67" s="22" cm="1">
        <f t="array" aca="1" ref="AP67" ca="1">SUMPRODUCT(($E67:$AH67)*(AP$3=$E$3:$AH$3)*(AP$4=$E$4:$AH$4)*(AP$5=$E$5:$AH$5)*(AP$6=$E$6:$AH$6))</f>
        <v>47.106917358731472</v>
      </c>
      <c r="AQ67" s="22" cm="1">
        <f t="array" aca="1" ref="AQ67" ca="1">SUMPRODUCT(($E67:$AH67)*(AQ$3=$E$3:$AH$3)*(AQ$4=$E$4:$AH$4)*(AQ$5=$E$5:$AH$5)*(AQ$6=$E$6:$AH$6))</f>
        <v>51.47473794719609</v>
      </c>
      <c r="AR67" s="22" cm="1">
        <f t="array" aca="1" ref="AR67" ca="1">SUMPRODUCT(($E67:$AH67)*(AR$3=$E$3:$AH$3)*(AR$4=$E$4:$AH$4)*(AR$5=$E$5:$AH$5)*(AR$6=$E$6:$AH$6))</f>
        <v>49.845476524282617</v>
      </c>
      <c r="AS67" s="22" cm="1">
        <f t="array" aca="1" ref="AS67" ca="1">SUMPRODUCT(($E67:$AH67)*(AS$3=$E$3:$AH$3)*(AS$4=$E$4:$AH$4)*(AS$5=$E$5:$AH$5)*(AS$6=$E$6:$AH$6))</f>
        <v>46.607768071433355</v>
      </c>
      <c r="AU67" s="22" cm="1">
        <f t="array" aca="1" ref="AU67" ca="1">SUMPRODUCT(($E67:$AH67)*(AU$5=$E$5:$AH$5))</f>
        <v>88.09937698287122</v>
      </c>
      <c r="AV67" s="22" cm="1">
        <f t="array" aca="1" ref="AV67" ca="1">SUMPRODUCT(($E67:$AH67)*(AV$5=$E$5:$AH$5))</f>
        <v>186.40179761077809</v>
      </c>
      <c r="AW67" s="22" cm="1">
        <f t="array" aca="1" ref="AW67" ca="1">SUMPRODUCT(($E67:$AH67)*(AW$5=$E$5:$AH$5))</f>
        <v>195.03489990164354</v>
      </c>
    </row>
    <row r="68" spans="2:51" x14ac:dyDescent="0.2"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63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J68" s="32"/>
      <c r="AK68" s="32"/>
      <c r="AL68" s="32"/>
      <c r="AM68" s="63"/>
      <c r="AN68" s="32"/>
      <c r="AO68" s="32"/>
      <c r="AP68" s="32"/>
      <c r="AQ68" s="32"/>
      <c r="AR68" s="32"/>
      <c r="AS68" s="32"/>
      <c r="AU68" s="32"/>
      <c r="AV68" s="32"/>
      <c r="AW68" s="32"/>
    </row>
    <row r="69" spans="2:51" x14ac:dyDescent="0.2">
      <c r="B69" t="s">
        <v>12</v>
      </c>
      <c r="C69" s="16" t="s">
        <v>64</v>
      </c>
      <c r="D69" s="16"/>
      <c r="E69" s="78">
        <f>E63+E67</f>
        <v>36.864684319788694</v>
      </c>
      <c r="F69" s="78">
        <f t="shared" ref="F69:AH69" si="52">F63+F67</f>
        <v>35.300584398778966</v>
      </c>
      <c r="G69" s="78">
        <f t="shared" si="52"/>
        <v>33.374602027068249</v>
      </c>
      <c r="H69" s="78">
        <f t="shared" si="52"/>
        <v>34.471956929929419</v>
      </c>
      <c r="I69" s="78">
        <f t="shared" si="52"/>
        <v>33.089816135733372</v>
      </c>
      <c r="J69" s="78">
        <f t="shared" si="52"/>
        <v>34.997733171572534</v>
      </c>
      <c r="K69" s="78">
        <f t="shared" si="52"/>
        <v>36.582968329413802</v>
      </c>
      <c r="L69" s="78">
        <f t="shared" si="52"/>
        <v>35.035343513956931</v>
      </c>
      <c r="M69" s="78">
        <f t="shared" si="52"/>
        <v>33.407789855974222</v>
      </c>
      <c r="N69" s="78">
        <f t="shared" si="52"/>
        <v>36.422941349570195</v>
      </c>
      <c r="O69" s="78">
        <f t="shared" si="52"/>
        <v>35.844866026294582</v>
      </c>
      <c r="P69" s="79">
        <f t="shared" si="52"/>
        <v>36.933391794384342</v>
      </c>
      <c r="Q69" s="78">
        <f t="shared" si="52"/>
        <v>37.639835884594092</v>
      </c>
      <c r="R69" s="78">
        <f t="shared" si="52"/>
        <v>36.007335262434857</v>
      </c>
      <c r="S69" s="78">
        <f t="shared" si="52"/>
        <v>33.993152451965138</v>
      </c>
      <c r="T69" s="78">
        <f t="shared" si="52"/>
        <v>35.14366868182136</v>
      </c>
      <c r="U69" s="78">
        <f t="shared" si="52"/>
        <v>33.698110393369603</v>
      </c>
      <c r="V69" s="78">
        <f t="shared" si="52"/>
        <v>35.692394066998943</v>
      </c>
      <c r="W69" s="78">
        <f t="shared" si="52"/>
        <v>37.350071841778728</v>
      </c>
      <c r="X69" s="78">
        <f t="shared" si="52"/>
        <v>35.730041588012753</v>
      </c>
      <c r="Y69" s="78">
        <f t="shared" si="52"/>
        <v>34.026803928939991</v>
      </c>
      <c r="Z69" s="78">
        <f t="shared" si="52"/>
        <v>37.183215787504196</v>
      </c>
      <c r="AA69" s="78">
        <f t="shared" si="52"/>
        <v>36.575371548622805</v>
      </c>
      <c r="AB69" s="78">
        <f t="shared" si="52"/>
        <v>37.716150611069082</v>
      </c>
      <c r="AC69" s="78">
        <f t="shared" si="52"/>
        <v>38.453470267947473</v>
      </c>
      <c r="AD69" s="78">
        <f t="shared" si="52"/>
        <v>36.749357675099446</v>
      </c>
      <c r="AE69" s="78">
        <f t="shared" si="52"/>
        <v>34.642648581235697</v>
      </c>
      <c r="AF69" s="78">
        <f t="shared" si="52"/>
        <v>35.849032635663995</v>
      </c>
      <c r="AG69" s="78">
        <f t="shared" si="52"/>
        <v>34.336917574610709</v>
      </c>
      <c r="AH69" s="78">
        <f t="shared" si="52"/>
        <v>36.421817861158651</v>
      </c>
      <c r="AJ69" s="78">
        <f t="shared" ref="AJ69:AW69" ca="1" si="53">AJ63+AJ67</f>
        <v>105.53987074563591</v>
      </c>
      <c r="AK69" s="78">
        <f t="shared" ca="1" si="53"/>
        <v>102.55950623723533</v>
      </c>
      <c r="AL69" s="78">
        <f t="shared" ca="1" si="53"/>
        <v>105.02610169934496</v>
      </c>
      <c r="AM69" s="80">
        <f t="shared" ca="1" si="53"/>
        <v>109.20119917024911</v>
      </c>
      <c r="AN69" s="78">
        <f t="shared" ca="1" si="53"/>
        <v>107.64032359899409</v>
      </c>
      <c r="AO69" s="78">
        <f t="shared" ca="1" si="53"/>
        <v>104.53417314218991</v>
      </c>
      <c r="AP69" s="78">
        <f t="shared" ca="1" si="53"/>
        <v>107.10691735873147</v>
      </c>
      <c r="AQ69" s="78">
        <f t="shared" ca="1" si="53"/>
        <v>111.47473794719609</v>
      </c>
      <c r="AR69" s="78">
        <f t="shared" ca="1" si="53"/>
        <v>109.84547652428262</v>
      </c>
      <c r="AS69" s="78">
        <f t="shared" ca="1" si="53"/>
        <v>106.60776807143336</v>
      </c>
      <c r="AU69" s="78">
        <f t="shared" ca="1" si="53"/>
        <v>208.09937698287121</v>
      </c>
      <c r="AV69" s="78">
        <f t="shared" ca="1" si="53"/>
        <v>426.40179761077809</v>
      </c>
      <c r="AW69" s="78">
        <f t="shared" ca="1" si="53"/>
        <v>435.03489990164354</v>
      </c>
    </row>
    <row r="70" spans="2:51" x14ac:dyDescent="0.2">
      <c r="P70" s="2"/>
      <c r="Q70" t="s">
        <v>65</v>
      </c>
      <c r="AM70" s="2"/>
    </row>
    <row r="71" spans="2:51" x14ac:dyDescent="0.2">
      <c r="C71" s="17" t="s">
        <v>16</v>
      </c>
      <c r="D71" s="17"/>
      <c r="E71" s="18" t="str">
        <f t="shared" ref="E71:AH71" si="54">E$9</f>
        <v>Jul-20A</v>
      </c>
      <c r="F71" s="18" t="str">
        <f t="shared" si="54"/>
        <v>Aug-20A</v>
      </c>
      <c r="G71" s="18" t="str">
        <f t="shared" si="54"/>
        <v>Sep-20A</v>
      </c>
      <c r="H71" s="18" t="str">
        <f t="shared" si="54"/>
        <v>Oct-20A</v>
      </c>
      <c r="I71" s="18" t="str">
        <f t="shared" si="54"/>
        <v>Nov-20A</v>
      </c>
      <c r="J71" s="18" t="str">
        <f t="shared" si="54"/>
        <v>Dec-20A</v>
      </c>
      <c r="K71" s="18" t="str">
        <f t="shared" si="54"/>
        <v>Jan-21A</v>
      </c>
      <c r="L71" s="18" t="str">
        <f t="shared" si="54"/>
        <v>Feb-21A</v>
      </c>
      <c r="M71" s="18" t="str">
        <f t="shared" si="54"/>
        <v>Mar-21A</v>
      </c>
      <c r="N71" s="18" t="str">
        <f t="shared" si="54"/>
        <v>Apr-21A</v>
      </c>
      <c r="O71" s="18" t="str">
        <f t="shared" si="54"/>
        <v>May-21A</v>
      </c>
      <c r="P71" s="19" t="str">
        <f t="shared" si="54"/>
        <v>Jun-21A</v>
      </c>
      <c r="Q71" s="18" t="str">
        <f t="shared" si="54"/>
        <v>Jul-21F</v>
      </c>
      <c r="R71" s="18" t="str">
        <f t="shared" si="54"/>
        <v>Aug-21F</v>
      </c>
      <c r="S71" s="18" t="str">
        <f t="shared" si="54"/>
        <v>Sep-21F</v>
      </c>
      <c r="T71" s="18" t="str">
        <f t="shared" si="54"/>
        <v>Oct-21F</v>
      </c>
      <c r="U71" s="18" t="str">
        <f t="shared" si="54"/>
        <v>Nov-21F</v>
      </c>
      <c r="V71" s="18" t="str">
        <f t="shared" si="54"/>
        <v>Dec-21F</v>
      </c>
      <c r="W71" s="18" t="str">
        <f t="shared" si="54"/>
        <v>Jan-22F</v>
      </c>
      <c r="X71" s="18" t="str">
        <f t="shared" si="54"/>
        <v>Feb-22F</v>
      </c>
      <c r="Y71" s="18" t="str">
        <f t="shared" si="54"/>
        <v>Mar-22F</v>
      </c>
      <c r="Z71" s="18" t="str">
        <f t="shared" si="54"/>
        <v>Apr-22F</v>
      </c>
      <c r="AA71" s="18" t="str">
        <f t="shared" si="54"/>
        <v>May-22F</v>
      </c>
      <c r="AB71" s="18" t="str">
        <f t="shared" si="54"/>
        <v>Jun-22F</v>
      </c>
      <c r="AC71" s="18" t="str">
        <f t="shared" si="54"/>
        <v>Jul-22F</v>
      </c>
      <c r="AD71" s="18" t="str">
        <f t="shared" si="54"/>
        <v>Aug-22F</v>
      </c>
      <c r="AE71" s="18" t="str">
        <f t="shared" si="54"/>
        <v>Sep-22F</v>
      </c>
      <c r="AF71" s="18" t="str">
        <f t="shared" si="54"/>
        <v>Oct-22F</v>
      </c>
      <c r="AG71" s="18" t="str">
        <f t="shared" si="54"/>
        <v>Nov-22F</v>
      </c>
      <c r="AH71" s="18" t="str">
        <f t="shared" si="54"/>
        <v>Dec-22F</v>
      </c>
      <c r="AJ71" s="18" t="str">
        <f ca="1">AJ$10</f>
        <v>Q3'20A</v>
      </c>
      <c r="AK71" s="18" t="str">
        <f t="shared" ref="AK71:AW71" ca="1" si="55">AK$10</f>
        <v>Q4'20A</v>
      </c>
      <c r="AL71" s="18" t="str">
        <f t="shared" ca="1" si="55"/>
        <v>Q1'21A</v>
      </c>
      <c r="AM71" s="19" t="str">
        <f t="shared" ca="1" si="55"/>
        <v>Q2'21A</v>
      </c>
      <c r="AN71" s="18" t="str">
        <f t="shared" ca="1" si="55"/>
        <v>Q3'21F</v>
      </c>
      <c r="AO71" s="18" t="str">
        <f t="shared" ca="1" si="55"/>
        <v>Q4'21F</v>
      </c>
      <c r="AP71" s="18" t="str">
        <f t="shared" ca="1" si="55"/>
        <v>Q1'22F</v>
      </c>
      <c r="AQ71" s="18" t="str">
        <f t="shared" ca="1" si="55"/>
        <v>Q2'22F</v>
      </c>
      <c r="AR71" s="18" t="str">
        <f t="shared" ca="1" si="55"/>
        <v>Q3'22F</v>
      </c>
      <c r="AS71" s="18" t="str">
        <f t="shared" ca="1" si="55"/>
        <v>Q4'22F</v>
      </c>
      <c r="AU71" s="18" t="str">
        <f t="shared" ca="1" si="55"/>
        <v>FY20</v>
      </c>
      <c r="AV71" s="18" t="str">
        <f t="shared" ca="1" si="55"/>
        <v>FY21</v>
      </c>
      <c r="AW71" s="18" t="str">
        <f t="shared" ca="1" si="55"/>
        <v>FY22</v>
      </c>
    </row>
    <row r="72" spans="2:51" x14ac:dyDescent="0.2">
      <c r="C72" s="20" t="s">
        <v>66</v>
      </c>
      <c r="E72" s="58">
        <v>11800.861025656588</v>
      </c>
      <c r="F72" s="58">
        <v>10190.120500067982</v>
      </c>
      <c r="G72" s="58">
        <v>9110.0208712018284</v>
      </c>
      <c r="H72" s="58">
        <v>9044.183038694553</v>
      </c>
      <c r="I72" s="58">
        <v>8440.3097831778141</v>
      </c>
      <c r="J72" s="59">
        <v>10898.81272312327</v>
      </c>
      <c r="K72" s="58">
        <v>11713.015390582983</v>
      </c>
      <c r="L72" s="58">
        <v>10245.271619090556</v>
      </c>
      <c r="M72" s="58">
        <v>9698.6496421278625</v>
      </c>
      <c r="N72" s="58">
        <v>12671.502680935422</v>
      </c>
      <c r="O72" s="58">
        <v>11507.663891162467</v>
      </c>
      <c r="P72" s="60">
        <v>12325.312466077157</v>
      </c>
      <c r="Q72" s="58">
        <v>12343.264056548505</v>
      </c>
      <c r="R72" s="58">
        <v>10660.813401494373</v>
      </c>
      <c r="S72" s="58">
        <v>9531.3423631831938</v>
      </c>
      <c r="T72" s="58">
        <v>9463.9662140292585</v>
      </c>
      <c r="U72" s="58">
        <v>8832.5377503654036</v>
      </c>
      <c r="V72" s="58">
        <v>11403.620944387001</v>
      </c>
      <c r="W72" s="58">
        <v>12254.842105077967</v>
      </c>
      <c r="X72" s="58">
        <v>10718.647598518899</v>
      </c>
      <c r="Y72" s="58">
        <v>10146.419235903713</v>
      </c>
      <c r="Z72" s="58">
        <v>13258.110120703179</v>
      </c>
      <c r="AA72" s="58">
        <v>12038.208738158386</v>
      </c>
      <c r="AB72" s="58">
        <v>12895.059337723731</v>
      </c>
      <c r="AC72" s="58">
        <v>12912.594979178508</v>
      </c>
      <c r="AD72" s="58">
        <v>11154.996996168495</v>
      </c>
      <c r="AE72" s="58">
        <v>9973.7423150804207</v>
      </c>
      <c r="AF72" s="58">
        <v>9904.7801784667026</v>
      </c>
      <c r="AG72" s="58">
        <v>9244.4404421591335</v>
      </c>
      <c r="AH72" s="58">
        <v>11933.691271508513</v>
      </c>
      <c r="AJ72" s="22" cm="1">
        <f t="array" aca="1" ref="AJ72" ca="1">SUMPRODUCT(($E72:$AH72)*(AJ$3&amp;AJ$4&amp;AJ$5&amp;AJ$6=$E$3:$AH$3&amp;$E$4:$AH$4&amp;$E$5:$AH$5&amp;$E$6:$AH$6))</f>
        <v>31101.0023969264</v>
      </c>
      <c r="AK72" s="22" cm="1">
        <f t="array" aca="1" ref="AK72" ca="1">SUMPRODUCT(($E72:$AH72)*(AK$3=$E$3:$AH$3)*(AK$4=$E$4:$AH$4)*(AK$5=$E$5:$AH$5)*(AK$6=$E$6:$AH$6))</f>
        <v>28383.305544995637</v>
      </c>
      <c r="AL72" s="22" cm="1">
        <f t="array" aca="1" ref="AL72" ca="1">SUMPRODUCT(($E72:$AH72)*(AL$3=$E$3:$AH$3)*(AL$4=$E$4:$AH$4)*(AL$5=$E$5:$AH$5)*(AL$6=$E$6:$AH$6))</f>
        <v>31656.936651801399</v>
      </c>
      <c r="AM72" s="23" cm="1">
        <f t="array" aca="1" ref="AM72" ca="1">SUMPRODUCT(($E72:$AH72)*(AM$3=$E$3:$AH$3)*(AM$4=$E$4:$AH$4)*(AM$5=$E$5:$AH$5)*(AM$6=$E$6:$AH$6))</f>
        <v>36504.47903817505</v>
      </c>
      <c r="AN72" s="22" cm="1">
        <f t="array" aca="1" ref="AN72" ca="1">SUMPRODUCT(($E72:$AH72)*(AN$3=$E$3:$AH$3)*(AN$4=$E$4:$AH$4)*(AN$5=$E$5:$AH$5)*(AN$6=$E$6:$AH$6))</f>
        <v>32535.419821226071</v>
      </c>
      <c r="AO72" s="22" cm="1">
        <f t="array" aca="1" ref="AO72" ca="1">SUMPRODUCT(($E72:$AH72)*(AO$3=$E$3:$AH$3)*(AO$4=$E$4:$AH$4)*(AO$5=$E$5:$AH$5)*(AO$6=$E$6:$AH$6))</f>
        <v>29700.124908781661</v>
      </c>
      <c r="AP72" s="22" cm="1">
        <f t="array" aca="1" ref="AP72" ca="1">SUMPRODUCT(($E72:$AH72)*(AP$3=$E$3:$AH$3)*(AP$4=$E$4:$AH$4)*(AP$5=$E$5:$AH$5)*(AP$6=$E$6:$AH$6))</f>
        <v>33119.908939500579</v>
      </c>
      <c r="AQ72" s="22" cm="1">
        <f t="array" aca="1" ref="AQ72" ca="1">SUMPRODUCT(($E72:$AH72)*(AQ$3=$E$3:$AH$3)*(AQ$4=$E$4:$AH$4)*(AQ$5=$E$5:$AH$5)*(AQ$6=$E$6:$AH$6))</f>
        <v>38191.378196585298</v>
      </c>
      <c r="AR72" s="22" cm="1">
        <f t="array" aca="1" ref="AR72" ca="1">SUMPRODUCT(($E72:$AH72)*(AR$3=$E$3:$AH$3)*(AR$4=$E$4:$AH$4)*(AR$5=$E$5:$AH$5)*(AR$6=$E$6:$AH$6))</f>
        <v>34041.334290427418</v>
      </c>
      <c r="AS72" s="22" cm="1">
        <f t="array" aca="1" ref="AS72" ca="1">SUMPRODUCT(($E72:$AH72)*(AS$3=$E$3:$AH$3)*(AS$4=$E$4:$AH$4)*(AS$5=$E$5:$AH$5)*(AS$6=$E$6:$AH$6))</f>
        <v>31082.911892134347</v>
      </c>
      <c r="AU72" s="22" cm="1">
        <f t="array" aca="1" ref="AU72" ca="1">SUMPRODUCT(($E72:$AH72)*(AU$5=$E$5:$AH$5))</f>
        <v>59484.307941922038</v>
      </c>
      <c r="AV72" s="22" cm="1">
        <f t="array" aca="1" ref="AV72" ca="1">SUMPRODUCT(($E72:$AH72)*(AV$5=$E$5:$AH$5))</f>
        <v>130396.9604199842</v>
      </c>
      <c r="AW72" s="22" cm="1">
        <f t="array" aca="1" ref="AW72" ca="1">SUMPRODUCT(($E72:$AH72)*(AW$5=$E$5:$AH$5))</f>
        <v>136435.53331864768</v>
      </c>
    </row>
    <row r="73" spans="2:51" x14ac:dyDescent="0.2">
      <c r="C73" s="25" t="s">
        <v>67</v>
      </c>
      <c r="D73" s="32"/>
      <c r="E73" s="81">
        <f>E74/E72</f>
        <v>9.4999999999999998E-3</v>
      </c>
      <c r="F73" s="81">
        <f t="shared" ref="F73:P73" si="56">F74/F72</f>
        <v>9.4999999999999998E-3</v>
      </c>
      <c r="G73" s="81">
        <f t="shared" si="56"/>
        <v>9.4999999999999998E-3</v>
      </c>
      <c r="H73" s="81">
        <f t="shared" si="56"/>
        <v>9.4999999999999998E-3</v>
      </c>
      <c r="I73" s="81">
        <f t="shared" si="56"/>
        <v>0.01</v>
      </c>
      <c r="J73" s="81">
        <f t="shared" si="56"/>
        <v>1.0500000000000001E-2</v>
      </c>
      <c r="K73" s="81">
        <f t="shared" si="56"/>
        <v>9.4999999999999998E-3</v>
      </c>
      <c r="L73" s="81">
        <f t="shared" si="56"/>
        <v>9.4999999999999998E-3</v>
      </c>
      <c r="M73" s="81">
        <f t="shared" si="56"/>
        <v>9.4999999999999998E-3</v>
      </c>
      <c r="N73" s="81">
        <f t="shared" si="56"/>
        <v>1.0500000000000001E-2</v>
      </c>
      <c r="O73" s="81">
        <f t="shared" si="56"/>
        <v>1.0500000000000001E-2</v>
      </c>
      <c r="P73" s="81">
        <f t="shared" si="56"/>
        <v>1.0500000000000001E-2</v>
      </c>
      <c r="Q73" s="62">
        <f>E73</f>
        <v>9.4999999999999998E-3</v>
      </c>
      <c r="R73" s="62">
        <f>F73</f>
        <v>9.4999999999999998E-3</v>
      </c>
      <c r="S73" s="62">
        <f t="shared" ref="S73:AH73" si="57">G73</f>
        <v>9.4999999999999998E-3</v>
      </c>
      <c r="T73" s="62">
        <f t="shared" si="57"/>
        <v>9.4999999999999998E-3</v>
      </c>
      <c r="U73" s="62">
        <f t="shared" si="57"/>
        <v>0.01</v>
      </c>
      <c r="V73" s="62">
        <f t="shared" si="57"/>
        <v>1.0500000000000001E-2</v>
      </c>
      <c r="W73" s="62">
        <f t="shared" si="57"/>
        <v>9.4999999999999998E-3</v>
      </c>
      <c r="X73" s="62">
        <f t="shared" si="57"/>
        <v>9.4999999999999998E-3</v>
      </c>
      <c r="Y73" s="62">
        <f t="shared" si="57"/>
        <v>9.4999999999999998E-3</v>
      </c>
      <c r="Z73" s="62">
        <f t="shared" si="57"/>
        <v>1.0500000000000001E-2</v>
      </c>
      <c r="AA73" s="62">
        <f t="shared" si="57"/>
        <v>1.0500000000000001E-2</v>
      </c>
      <c r="AB73" s="62">
        <f t="shared" si="57"/>
        <v>1.0500000000000001E-2</v>
      </c>
      <c r="AC73" s="62">
        <f t="shared" si="57"/>
        <v>9.4999999999999998E-3</v>
      </c>
      <c r="AD73" s="62">
        <f t="shared" si="57"/>
        <v>9.4999999999999998E-3</v>
      </c>
      <c r="AE73" s="62">
        <f t="shared" si="57"/>
        <v>9.4999999999999998E-3</v>
      </c>
      <c r="AF73" s="62">
        <f t="shared" si="57"/>
        <v>9.4999999999999998E-3</v>
      </c>
      <c r="AG73" s="62">
        <f t="shared" si="57"/>
        <v>0.01</v>
      </c>
      <c r="AH73" s="62">
        <f t="shared" si="57"/>
        <v>1.0500000000000001E-2</v>
      </c>
      <c r="AM73" s="2"/>
    </row>
    <row r="74" spans="2:51" x14ac:dyDescent="0.2">
      <c r="B74" t="s">
        <v>12</v>
      </c>
      <c r="C74" t="s">
        <v>68</v>
      </c>
      <c r="E74" s="66">
        <v>112.10817974373758</v>
      </c>
      <c r="F74" s="66">
        <v>96.806144750645828</v>
      </c>
      <c r="G74" s="66">
        <v>86.545198276417366</v>
      </c>
      <c r="H74" s="66">
        <v>85.919738867598255</v>
      </c>
      <c r="I74" s="66">
        <v>84.40309783177814</v>
      </c>
      <c r="J74" s="41">
        <v>114.43753359279434</v>
      </c>
      <c r="K74" s="66">
        <v>111.27364621053833</v>
      </c>
      <c r="L74" s="66">
        <v>97.330080381360276</v>
      </c>
      <c r="M74" s="66">
        <v>92.137171600214685</v>
      </c>
      <c r="N74" s="66">
        <v>133.05077814982195</v>
      </c>
      <c r="O74" s="66">
        <v>120.83047085720591</v>
      </c>
      <c r="P74" s="42">
        <v>129.41578089381017</v>
      </c>
      <c r="Q74" s="22">
        <f>Q72*Q73</f>
        <v>117.2610085372108</v>
      </c>
      <c r="R74" s="22">
        <f t="shared" ref="R74:AH74" si="58">R72*R73</f>
        <v>101.27772731419654</v>
      </c>
      <c r="S74" s="22">
        <f t="shared" si="58"/>
        <v>90.547752450240338</v>
      </c>
      <c r="T74" s="22">
        <f t="shared" si="58"/>
        <v>89.907679033277958</v>
      </c>
      <c r="U74" s="22">
        <f t="shared" si="58"/>
        <v>88.325377503654039</v>
      </c>
      <c r="V74" s="22">
        <f t="shared" si="58"/>
        <v>119.73801991606352</v>
      </c>
      <c r="W74" s="22">
        <f t="shared" si="58"/>
        <v>116.42099999824069</v>
      </c>
      <c r="X74" s="22">
        <f t="shared" si="58"/>
        <v>101.82715218592953</v>
      </c>
      <c r="Y74" s="22">
        <f t="shared" si="58"/>
        <v>96.390982741085281</v>
      </c>
      <c r="Z74" s="22">
        <f t="shared" si="58"/>
        <v>139.21015626738338</v>
      </c>
      <c r="AA74" s="22">
        <f t="shared" si="58"/>
        <v>126.40119175066306</v>
      </c>
      <c r="AB74" s="22">
        <f t="shared" si="58"/>
        <v>135.39812304609919</v>
      </c>
      <c r="AC74" s="22">
        <f t="shared" si="58"/>
        <v>122.66965230219583</v>
      </c>
      <c r="AD74" s="22">
        <f t="shared" si="58"/>
        <v>105.9724714636007</v>
      </c>
      <c r="AE74" s="22">
        <f t="shared" si="58"/>
        <v>94.750551993263997</v>
      </c>
      <c r="AF74" s="22">
        <f t="shared" si="58"/>
        <v>94.095411695433668</v>
      </c>
      <c r="AG74" s="22">
        <f t="shared" si="58"/>
        <v>92.444404421591329</v>
      </c>
      <c r="AH74" s="22">
        <f t="shared" si="58"/>
        <v>125.30375835083939</v>
      </c>
      <c r="AJ74" s="22" cm="1">
        <f t="array" aca="1" ref="AJ74" ca="1">SUMPRODUCT(($E74:$AH74)*(AJ$3&amp;AJ$4&amp;AJ$5&amp;AJ$6=$E$3:$AH$3&amp;$E$4:$AH$4&amp;$E$5:$AH$5&amp;$E$6:$AH$6))</f>
        <v>295.45952277080079</v>
      </c>
      <c r="AK74" s="22" cm="1">
        <f t="array" aca="1" ref="AK74" ca="1">SUMPRODUCT(($E74:$AH74)*(AK$3=$E$3:$AH$3)*(AK$4=$E$4:$AH$4)*(AK$5=$E$5:$AH$5)*(AK$6=$E$6:$AH$6))</f>
        <v>284.76037029217076</v>
      </c>
      <c r="AL74" s="22" cm="1">
        <f t="array" aca="1" ref="AL74" ca="1">SUMPRODUCT(($E74:$AH74)*(AL$3=$E$3:$AH$3)*(AL$4=$E$4:$AH$4)*(AL$5=$E$5:$AH$5)*(AL$6=$E$6:$AH$6))</f>
        <v>300.74089819211326</v>
      </c>
      <c r="AM74" s="23" cm="1">
        <f t="array" aca="1" ref="AM74" ca="1">SUMPRODUCT(($E74:$AH74)*(AM$3=$E$3:$AH$3)*(AM$4=$E$4:$AH$4)*(AM$5=$E$5:$AH$5)*(AM$6=$E$6:$AH$6))</f>
        <v>383.29702990083803</v>
      </c>
      <c r="AN74" s="22" cm="1">
        <f t="array" aca="1" ref="AN74" ca="1">SUMPRODUCT(($E74:$AH74)*(AN$3=$E$3:$AH$3)*(AN$4=$E$4:$AH$4)*(AN$5=$E$5:$AH$5)*(AN$6=$E$6:$AH$6))</f>
        <v>309.08648830164771</v>
      </c>
      <c r="AO74" s="22" cm="1">
        <f t="array" aca="1" ref="AO74" ca="1">SUMPRODUCT(($E74:$AH74)*(AO$3=$E$3:$AH$3)*(AO$4=$E$4:$AH$4)*(AO$5=$E$5:$AH$5)*(AO$6=$E$6:$AH$6))</f>
        <v>297.97107645299553</v>
      </c>
      <c r="AP74" s="22" cm="1">
        <f t="array" aca="1" ref="AP74" ca="1">SUMPRODUCT(($E74:$AH74)*(AP$3=$E$3:$AH$3)*(AP$4=$E$4:$AH$4)*(AP$5=$E$5:$AH$5)*(AP$6=$E$6:$AH$6))</f>
        <v>314.63913492525552</v>
      </c>
      <c r="AQ74" s="22" cm="1">
        <f t="array" aca="1" ref="AQ74" ca="1">SUMPRODUCT(($E74:$AH74)*(AQ$3=$E$3:$AH$3)*(AQ$4=$E$4:$AH$4)*(AQ$5=$E$5:$AH$5)*(AQ$6=$E$6:$AH$6))</f>
        <v>401.0094710641456</v>
      </c>
      <c r="AR74" s="22" cm="1">
        <f t="array" aca="1" ref="AR74" ca="1">SUMPRODUCT(($E74:$AH74)*(AR$3=$E$3:$AH$3)*(AR$4=$E$4:$AH$4)*(AR$5=$E$5:$AH$5)*(AR$6=$E$6:$AH$6))</f>
        <v>323.39267575906052</v>
      </c>
      <c r="AS74" s="22" cm="1">
        <f t="array" aca="1" ref="AS74" ca="1">SUMPRODUCT(($E74:$AH74)*(AS$3=$E$3:$AH$3)*(AS$4=$E$4:$AH$4)*(AS$5=$E$5:$AH$5)*(AS$6=$E$6:$AH$6))</f>
        <v>311.84357446786441</v>
      </c>
      <c r="AU74" s="22" cm="1">
        <f t="array" aca="1" ref="AU74" ca="1">SUMPRODUCT(($E74:$AH74)*(AU$5=$E$5:$AH$5))</f>
        <v>580.21989306297155</v>
      </c>
      <c r="AV74" s="22" cm="1">
        <f t="array" aca="1" ref="AV74" ca="1">SUMPRODUCT(($E74:$AH74)*(AV$5=$E$5:$AH$5))</f>
        <v>1291.0954928475944</v>
      </c>
      <c r="AW74" s="22" cm="1">
        <f t="array" aca="1" ref="AW74" ca="1">SUMPRODUCT(($E74:$AH74)*(AW$5=$E$5:$AH$5))</f>
        <v>1350.8848562163262</v>
      </c>
    </row>
    <row r="75" spans="2:51" x14ac:dyDescent="0.2">
      <c r="P75" s="2"/>
      <c r="Q75" t="s">
        <v>55</v>
      </c>
      <c r="AM75" s="2"/>
    </row>
    <row r="76" spans="2:51" x14ac:dyDescent="0.2">
      <c r="C76" s="17" t="s">
        <v>69</v>
      </c>
      <c r="D76" s="17"/>
      <c r="E76" s="18" t="str">
        <f t="shared" ref="E76:AH76" si="59">E$9</f>
        <v>Jul-20A</v>
      </c>
      <c r="F76" s="18" t="str">
        <f t="shared" si="59"/>
        <v>Aug-20A</v>
      </c>
      <c r="G76" s="18" t="str">
        <f t="shared" si="59"/>
        <v>Sep-20A</v>
      </c>
      <c r="H76" s="18" t="str">
        <f t="shared" si="59"/>
        <v>Oct-20A</v>
      </c>
      <c r="I76" s="18" t="str">
        <f t="shared" si="59"/>
        <v>Nov-20A</v>
      </c>
      <c r="J76" s="18" t="str">
        <f t="shared" si="59"/>
        <v>Dec-20A</v>
      </c>
      <c r="K76" s="18" t="str">
        <f t="shared" si="59"/>
        <v>Jan-21A</v>
      </c>
      <c r="L76" s="18" t="str">
        <f t="shared" si="59"/>
        <v>Feb-21A</v>
      </c>
      <c r="M76" s="18" t="str">
        <f t="shared" si="59"/>
        <v>Mar-21A</v>
      </c>
      <c r="N76" s="18" t="str">
        <f t="shared" si="59"/>
        <v>Apr-21A</v>
      </c>
      <c r="O76" s="18" t="str">
        <f t="shared" si="59"/>
        <v>May-21A</v>
      </c>
      <c r="P76" s="19" t="str">
        <f t="shared" si="59"/>
        <v>Jun-21A</v>
      </c>
      <c r="Q76" s="18" t="str">
        <f t="shared" si="59"/>
        <v>Jul-21F</v>
      </c>
      <c r="R76" s="18" t="str">
        <f t="shared" si="59"/>
        <v>Aug-21F</v>
      </c>
      <c r="S76" s="18" t="str">
        <f t="shared" si="59"/>
        <v>Sep-21F</v>
      </c>
      <c r="T76" s="18" t="str">
        <f t="shared" si="59"/>
        <v>Oct-21F</v>
      </c>
      <c r="U76" s="18" t="str">
        <f t="shared" si="59"/>
        <v>Nov-21F</v>
      </c>
      <c r="V76" s="18" t="str">
        <f t="shared" si="59"/>
        <v>Dec-21F</v>
      </c>
      <c r="W76" s="18" t="str">
        <f t="shared" si="59"/>
        <v>Jan-22F</v>
      </c>
      <c r="X76" s="18" t="str">
        <f t="shared" si="59"/>
        <v>Feb-22F</v>
      </c>
      <c r="Y76" s="18" t="str">
        <f t="shared" si="59"/>
        <v>Mar-22F</v>
      </c>
      <c r="Z76" s="18" t="str">
        <f t="shared" si="59"/>
        <v>Apr-22F</v>
      </c>
      <c r="AA76" s="18" t="str">
        <f t="shared" si="59"/>
        <v>May-22F</v>
      </c>
      <c r="AB76" s="18" t="str">
        <f t="shared" si="59"/>
        <v>Jun-22F</v>
      </c>
      <c r="AC76" s="18" t="str">
        <f t="shared" si="59"/>
        <v>Jul-22F</v>
      </c>
      <c r="AD76" s="18" t="str">
        <f t="shared" si="59"/>
        <v>Aug-22F</v>
      </c>
      <c r="AE76" s="18" t="str">
        <f t="shared" si="59"/>
        <v>Sep-22F</v>
      </c>
      <c r="AF76" s="18" t="str">
        <f t="shared" si="59"/>
        <v>Oct-22F</v>
      </c>
      <c r="AG76" s="18" t="str">
        <f t="shared" si="59"/>
        <v>Nov-22F</v>
      </c>
      <c r="AH76" s="18" t="str">
        <f t="shared" si="59"/>
        <v>Dec-22F</v>
      </c>
      <c r="AJ76" s="18" t="str">
        <f ca="1">AJ$10</f>
        <v>Q3'20A</v>
      </c>
      <c r="AK76" s="18" t="str">
        <f t="shared" ref="AK76:AW76" ca="1" si="60">AK$10</f>
        <v>Q4'20A</v>
      </c>
      <c r="AL76" s="18" t="str">
        <f t="shared" ca="1" si="60"/>
        <v>Q1'21A</v>
      </c>
      <c r="AM76" s="19" t="str">
        <f t="shared" ca="1" si="60"/>
        <v>Q2'21A</v>
      </c>
      <c r="AN76" s="18" t="str">
        <f t="shared" ca="1" si="60"/>
        <v>Q3'21F</v>
      </c>
      <c r="AO76" s="18" t="str">
        <f t="shared" ca="1" si="60"/>
        <v>Q4'21F</v>
      </c>
      <c r="AP76" s="18" t="str">
        <f t="shared" ca="1" si="60"/>
        <v>Q1'22F</v>
      </c>
      <c r="AQ76" s="18" t="str">
        <f t="shared" ca="1" si="60"/>
        <v>Q2'22F</v>
      </c>
      <c r="AR76" s="18" t="str">
        <f t="shared" ca="1" si="60"/>
        <v>Q3'22F</v>
      </c>
      <c r="AS76" s="18" t="str">
        <f t="shared" ca="1" si="60"/>
        <v>Q4'22F</v>
      </c>
      <c r="AU76" s="18" t="str">
        <f t="shared" ca="1" si="60"/>
        <v>FY20</v>
      </c>
      <c r="AV76" s="18" t="str">
        <f t="shared" ca="1" si="60"/>
        <v>FY21</v>
      </c>
      <c r="AW76" s="18" t="str">
        <f t="shared" ca="1" si="60"/>
        <v>FY22</v>
      </c>
    </row>
    <row r="77" spans="2:51" x14ac:dyDescent="0.2">
      <c r="C77" s="20" t="s">
        <v>70</v>
      </c>
      <c r="E77" s="58">
        <v>927.93095274981602</v>
      </c>
      <c r="F77" s="58">
        <v>735.34790537528625</v>
      </c>
      <c r="G77" s="58">
        <v>715.08736984533709</v>
      </c>
      <c r="H77" s="58">
        <v>737.79236606337486</v>
      </c>
      <c r="I77" s="58">
        <v>727.34673636500895</v>
      </c>
      <c r="J77" s="59">
        <v>1012.467363759772</v>
      </c>
      <c r="K77" s="58">
        <v>858.15818043072909</v>
      </c>
      <c r="L77" s="58">
        <v>733.61037718247314</v>
      </c>
      <c r="M77" s="58">
        <v>752.34942815532486</v>
      </c>
      <c r="N77" s="58">
        <v>1014.6717284322399</v>
      </c>
      <c r="O77" s="58">
        <v>997.40795983870771</v>
      </c>
      <c r="P77" s="60">
        <v>1055.3928137161713</v>
      </c>
      <c r="Q77" s="58">
        <v>962.26710504664845</v>
      </c>
      <c r="R77" s="58">
        <v>785.14070172991967</v>
      </c>
      <c r="S77" s="58">
        <v>748.78092239024659</v>
      </c>
      <c r="T77" s="58">
        <v>762.60943594070318</v>
      </c>
      <c r="U77" s="58">
        <v>778.23495707400616</v>
      </c>
      <c r="V77" s="58">
        <v>1023.5196582385447</v>
      </c>
      <c r="W77" s="58">
        <v>897.98307552943243</v>
      </c>
      <c r="X77" s="58">
        <v>772.4393007521719</v>
      </c>
      <c r="Y77" s="58">
        <v>762.30450351485899</v>
      </c>
      <c r="Z77" s="58">
        <v>1091.5829187646336</v>
      </c>
      <c r="AA77" s="58">
        <v>1024.3667225276668</v>
      </c>
      <c r="AB77" s="58">
        <v>1115.3338176508103</v>
      </c>
      <c r="AC77" s="58">
        <v>1006.6551280661511</v>
      </c>
      <c r="AD77" s="58">
        <v>821.54397788681172</v>
      </c>
      <c r="AE77" s="58">
        <v>783.53491854425556</v>
      </c>
      <c r="AF77" s="58">
        <v>798.13025386969878</v>
      </c>
      <c r="AG77" s="58">
        <v>814.5237339757989</v>
      </c>
      <c r="AH77" s="58">
        <v>1071.1005644978077</v>
      </c>
      <c r="AJ77" s="22" cm="1">
        <f t="array" aca="1" ref="AJ77" ca="1">SUMPRODUCT(($E77:$AH77)*(AJ$3&amp;AJ$4&amp;AJ$5&amp;AJ$6=$E$3:$AH$3&amp;$E$4:$AH$4&amp;$E$5:$AH$5&amp;$E$6:$AH$6))</f>
        <v>2378.3662279704395</v>
      </c>
      <c r="AK77" s="22" cm="1">
        <f t="array" aca="1" ref="AK77" ca="1">SUMPRODUCT(($E77:$AH77)*(AK$3=$E$3:$AH$3)*(AK$4=$E$4:$AH$4)*(AK$5=$E$5:$AH$5)*(AK$6=$E$6:$AH$6))</f>
        <v>2477.606466188156</v>
      </c>
      <c r="AL77" s="22" cm="1">
        <f t="array" aca="1" ref="AL77" ca="1">SUMPRODUCT(($E77:$AH77)*(AL$3=$E$3:$AH$3)*(AL$4=$E$4:$AH$4)*(AL$5=$E$5:$AH$5)*(AL$6=$E$6:$AH$6))</f>
        <v>2344.117985768527</v>
      </c>
      <c r="AM77" s="23" cm="1">
        <f t="array" aca="1" ref="AM77" ca="1">SUMPRODUCT(($E77:$AH77)*(AM$3=$E$3:$AH$3)*(AM$4=$E$4:$AH$4)*(AM$5=$E$5:$AH$5)*(AM$6=$E$6:$AH$6))</f>
        <v>3067.4725019871189</v>
      </c>
      <c r="AN77" s="22" cm="1">
        <f t="array" aca="1" ref="AN77" ca="1">SUMPRODUCT(($E77:$AH77)*(AN$3=$E$3:$AH$3)*(AN$4=$E$4:$AH$4)*(AN$5=$E$5:$AH$5)*(AN$6=$E$6:$AH$6))</f>
        <v>2496.1887291668145</v>
      </c>
      <c r="AO77" s="22" cm="1">
        <f t="array" aca="1" ref="AO77" ca="1">SUMPRODUCT(($E77:$AH77)*(AO$3=$E$3:$AH$3)*(AO$4=$E$4:$AH$4)*(AO$5=$E$5:$AH$5)*(AO$6=$E$6:$AH$6))</f>
        <v>2564.3640512532538</v>
      </c>
      <c r="AP77" s="22" cm="1">
        <f t="array" aca="1" ref="AP77" ca="1">SUMPRODUCT(($E77:$AH77)*(AP$3=$E$3:$AH$3)*(AP$4=$E$4:$AH$4)*(AP$5=$E$5:$AH$5)*(AP$6=$E$6:$AH$6))</f>
        <v>2432.7268797964634</v>
      </c>
      <c r="AQ77" s="22" cm="1">
        <f t="array" aca="1" ref="AQ77" ca="1">SUMPRODUCT(($E77:$AH77)*(AQ$3=$E$3:$AH$3)*(AQ$4=$E$4:$AH$4)*(AQ$5=$E$5:$AH$5)*(AQ$6=$E$6:$AH$6))</f>
        <v>3231.2834589431104</v>
      </c>
      <c r="AR77" s="22" cm="1">
        <f t="array" aca="1" ref="AR77" ca="1">SUMPRODUCT(($E77:$AH77)*(AR$3=$E$3:$AH$3)*(AR$4=$E$4:$AH$4)*(AR$5=$E$5:$AH$5)*(AR$6=$E$6:$AH$6))</f>
        <v>2611.7340244972183</v>
      </c>
      <c r="AS77" s="22" cm="1">
        <f t="array" aca="1" ref="AS77" ca="1">SUMPRODUCT(($E77:$AH77)*(AS$3=$E$3:$AH$3)*(AS$4=$E$4:$AH$4)*(AS$5=$E$5:$AH$5)*(AS$6=$E$6:$AH$6))</f>
        <v>2683.7545523433055</v>
      </c>
      <c r="AU77" s="22" cm="1">
        <f t="array" aca="1" ref="AU77" ca="1">SUMPRODUCT(($E77:$AH77)*(AU$5=$E$5:$AH$5))</f>
        <v>4855.972694158595</v>
      </c>
      <c r="AV77" s="22" cm="1">
        <f t="array" aca="1" ref="AV77" ca="1">SUMPRODUCT(($E77:$AH77)*(AV$5=$E$5:$AH$5))</f>
        <v>10472.143268175716</v>
      </c>
      <c r="AW77" s="22" cm="1">
        <f t="array" aca="1" ref="AW77" ca="1">SUMPRODUCT(($E77:$AH77)*(AW$5=$E$5:$AH$5))</f>
        <v>10959.498915580098</v>
      </c>
    </row>
    <row r="78" spans="2:51" x14ac:dyDescent="0.2">
      <c r="C78" s="25" t="s">
        <v>71</v>
      </c>
      <c r="D78" s="32"/>
      <c r="E78" s="81">
        <f>E79/E77</f>
        <v>3.4269791201343568E-2</v>
      </c>
      <c r="F78" s="81">
        <f t="shared" ref="F78:P78" si="61">F79/F77</f>
        <v>3.8763141288462297E-2</v>
      </c>
      <c r="G78" s="81">
        <f t="shared" si="61"/>
        <v>3.51233282874246E-2</v>
      </c>
      <c r="H78" s="81">
        <f t="shared" si="61"/>
        <v>3.4057432168232947E-2</v>
      </c>
      <c r="I78" s="81">
        <f t="shared" si="61"/>
        <v>3.8323420752202492E-2</v>
      </c>
      <c r="J78" s="81">
        <f t="shared" si="61"/>
        <v>2.6985310487470469E-2</v>
      </c>
      <c r="K78" s="81">
        <f t="shared" si="61"/>
        <v>4.9852299116256618E-2</v>
      </c>
      <c r="L78" s="81">
        <f t="shared" si="61"/>
        <v>4.6903752327759334E-2</v>
      </c>
      <c r="M78" s="81">
        <f t="shared" si="61"/>
        <v>4.3628467156515631E-2</v>
      </c>
      <c r="N78" s="81">
        <f t="shared" si="61"/>
        <v>3.3933945604087065E-2</v>
      </c>
      <c r="O78" s="81">
        <f t="shared" si="61"/>
        <v>4.896689616237751E-2</v>
      </c>
      <c r="P78" s="81">
        <f t="shared" si="61"/>
        <v>4.4585142685862784E-2</v>
      </c>
      <c r="Q78" s="62">
        <f>AVERAGE($K$78:$P$78)</f>
        <v>4.4645083842143163E-2</v>
      </c>
      <c r="R78" s="62">
        <f t="shared" ref="R78:AH78" si="62">AVERAGE($K$78:$P$78)</f>
        <v>4.4645083842143163E-2</v>
      </c>
      <c r="S78" s="62">
        <f t="shared" si="62"/>
        <v>4.4645083842143163E-2</v>
      </c>
      <c r="T78" s="62">
        <f t="shared" si="62"/>
        <v>4.4645083842143163E-2</v>
      </c>
      <c r="U78" s="62">
        <f t="shared" si="62"/>
        <v>4.4645083842143163E-2</v>
      </c>
      <c r="V78" s="62">
        <f t="shared" si="62"/>
        <v>4.4645083842143163E-2</v>
      </c>
      <c r="W78" s="62">
        <f t="shared" si="62"/>
        <v>4.4645083842143163E-2</v>
      </c>
      <c r="X78" s="62">
        <f t="shared" si="62"/>
        <v>4.4645083842143163E-2</v>
      </c>
      <c r="Y78" s="62">
        <f t="shared" si="62"/>
        <v>4.4645083842143163E-2</v>
      </c>
      <c r="Z78" s="62">
        <f t="shared" si="62"/>
        <v>4.4645083842143163E-2</v>
      </c>
      <c r="AA78" s="62">
        <f t="shared" si="62"/>
        <v>4.4645083842143163E-2</v>
      </c>
      <c r="AB78" s="62">
        <f t="shared" si="62"/>
        <v>4.4645083842143163E-2</v>
      </c>
      <c r="AC78" s="62">
        <f t="shared" si="62"/>
        <v>4.4645083842143163E-2</v>
      </c>
      <c r="AD78" s="62">
        <f t="shared" si="62"/>
        <v>4.4645083842143163E-2</v>
      </c>
      <c r="AE78" s="62">
        <f t="shared" si="62"/>
        <v>4.4645083842143163E-2</v>
      </c>
      <c r="AF78" s="62">
        <f t="shared" si="62"/>
        <v>4.4645083842143163E-2</v>
      </c>
      <c r="AG78" s="62">
        <f t="shared" si="62"/>
        <v>4.4645083842143163E-2</v>
      </c>
      <c r="AH78" s="62">
        <f t="shared" si="62"/>
        <v>4.4645083842143163E-2</v>
      </c>
      <c r="AM78" s="2"/>
    </row>
    <row r="79" spans="2:51" x14ac:dyDescent="0.2">
      <c r="B79" t="s">
        <v>12</v>
      </c>
      <c r="C79" t="s">
        <v>72</v>
      </c>
      <c r="E79" s="66">
        <v>31.8</v>
      </c>
      <c r="F79" s="66">
        <v>28.504394752237022</v>
      </c>
      <c r="G79" s="66">
        <v>25.116248445268788</v>
      </c>
      <c r="H79" s="66">
        <v>25.127313461443482</v>
      </c>
      <c r="I79" s="66">
        <v>27.87441501045754</v>
      </c>
      <c r="J79" s="41">
        <v>27.321746169488151</v>
      </c>
      <c r="K79" s="66">
        <v>42.781158299895225</v>
      </c>
      <c r="L79" s="66">
        <v>34.409079436440827</v>
      </c>
      <c r="M79" s="66">
        <v>32.823852316497906</v>
      </c>
      <c r="N79" s="66">
        <v>34.43181523862463</v>
      </c>
      <c r="O79" s="66">
        <v>48.839972000950802</v>
      </c>
      <c r="P79" s="42">
        <v>47.054839189169698</v>
      </c>
      <c r="Q79" s="22">
        <f>Q77*Q78</f>
        <v>42.960495583344006</v>
      </c>
      <c r="R79" s="22">
        <f t="shared" ref="R79:AH79" si="63">R77*R78</f>
        <v>35.052672456611383</v>
      </c>
      <c r="S79" s="22">
        <f t="shared" si="63"/>
        <v>33.42938705950985</v>
      </c>
      <c r="T79" s="22">
        <f t="shared" si="63"/>
        <v>34.046762206382198</v>
      </c>
      <c r="U79" s="22">
        <f t="shared" si="63"/>
        <v>34.74436490745569</v>
      </c>
      <c r="V79" s="22">
        <f t="shared" si="63"/>
        <v>45.695120956141544</v>
      </c>
      <c r="W79" s="22">
        <f t="shared" si="63"/>
        <v>40.090529695837084</v>
      </c>
      <c r="X79" s="22">
        <f t="shared" si="63"/>
        <v>34.485617345047153</v>
      </c>
      <c r="Y79" s="22">
        <f t="shared" si="63"/>
        <v>34.033148472664195</v>
      </c>
      <c r="Z79" s="22">
        <f t="shared" si="63"/>
        <v>48.733810928898414</v>
      </c>
      <c r="AA79" s="22">
        <f t="shared" si="63"/>
        <v>45.732938212349083</v>
      </c>
      <c r="AB79" s="22">
        <f t="shared" si="63"/>
        <v>49.794171800998036</v>
      </c>
      <c r="AC79" s="22">
        <f t="shared" si="63"/>
        <v>44.942202592636676</v>
      </c>
      <c r="AD79" s="22">
        <f t="shared" si="63"/>
        <v>36.677899772764519</v>
      </c>
      <c r="AE79" s="22">
        <f t="shared" si="63"/>
        <v>34.980982131655104</v>
      </c>
      <c r="AF79" s="22">
        <f t="shared" si="63"/>
        <v>35.632592100963713</v>
      </c>
      <c r="AG79" s="22">
        <f t="shared" si="63"/>
        <v>36.364480394765053</v>
      </c>
      <c r="AH79" s="22">
        <f t="shared" si="63"/>
        <v>47.819374505371492</v>
      </c>
      <c r="AJ79" s="22" cm="1">
        <f t="array" aca="1" ref="AJ79" ca="1">SUMPRODUCT(($E79:$AH79)*(AJ$3&amp;AJ$4&amp;AJ$5&amp;AJ$6=$E$3:$AH$3&amp;$E$4:$AH$4&amp;$E$5:$AH$5&amp;$E$6:$AH$6))</f>
        <v>85.420643197505811</v>
      </c>
      <c r="AK79" s="22" cm="1">
        <f t="array" aca="1" ref="AK79" ca="1">SUMPRODUCT(($E79:$AH79)*(AK$3=$E$3:$AH$3)*(AK$4=$E$4:$AH$4)*(AK$5=$E$5:$AH$5)*(AK$6=$E$6:$AH$6))</f>
        <v>80.323474641389168</v>
      </c>
      <c r="AL79" s="22" cm="1">
        <f t="array" aca="1" ref="AL79" ca="1">SUMPRODUCT(($E79:$AH79)*(AL$3=$E$3:$AH$3)*(AL$4=$E$4:$AH$4)*(AL$5=$E$5:$AH$5)*(AL$6=$E$6:$AH$6))</f>
        <v>110.01409005283396</v>
      </c>
      <c r="AM79" s="23" cm="1">
        <f t="array" aca="1" ref="AM79" ca="1">SUMPRODUCT(($E79:$AH79)*(AM$3=$E$3:$AH$3)*(AM$4=$E$4:$AH$4)*(AM$5=$E$5:$AH$5)*(AM$6=$E$6:$AH$6))</f>
        <v>130.32662642874513</v>
      </c>
      <c r="AN79" s="22" cm="1">
        <f t="array" aca="1" ref="AN79" ca="1">SUMPRODUCT(($E79:$AH79)*(AN$3=$E$3:$AH$3)*(AN$4=$E$4:$AH$4)*(AN$5=$E$5:$AH$5)*(AN$6=$E$6:$AH$6))</f>
        <v>111.44255509946524</v>
      </c>
      <c r="AO79" s="22" cm="1">
        <f t="array" aca="1" ref="AO79" ca="1">SUMPRODUCT(($E79:$AH79)*(AO$3=$E$3:$AH$3)*(AO$4=$E$4:$AH$4)*(AO$5=$E$5:$AH$5)*(AO$6=$E$6:$AH$6))</f>
        <v>114.48624806997944</v>
      </c>
      <c r="AP79" s="22" cm="1">
        <f t="array" aca="1" ref="AP79" ca="1">SUMPRODUCT(($E79:$AH79)*(AP$3=$E$3:$AH$3)*(AP$4=$E$4:$AH$4)*(AP$5=$E$5:$AH$5)*(AP$6=$E$6:$AH$6))</f>
        <v>108.60929551354843</v>
      </c>
      <c r="AQ79" s="22" cm="1">
        <f t="array" aca="1" ref="AQ79" ca="1">SUMPRODUCT(($E79:$AH79)*(AQ$3=$E$3:$AH$3)*(AQ$4=$E$4:$AH$4)*(AQ$5=$E$5:$AH$5)*(AQ$6=$E$6:$AH$6))</f>
        <v>144.26092094224555</v>
      </c>
      <c r="AR79" s="22" cm="1">
        <f t="array" aca="1" ref="AR79" ca="1">SUMPRODUCT(($E79:$AH79)*(AR$3=$E$3:$AH$3)*(AR$4=$E$4:$AH$4)*(AR$5=$E$5:$AH$5)*(AR$6=$E$6:$AH$6))</f>
        <v>116.60108449705629</v>
      </c>
      <c r="AS79" s="22" cm="1">
        <f t="array" aca="1" ref="AS79" ca="1">SUMPRODUCT(($E79:$AH79)*(AS$3=$E$3:$AH$3)*(AS$4=$E$4:$AH$4)*(AS$5=$E$5:$AH$5)*(AS$6=$E$6:$AH$6))</f>
        <v>119.81644700110024</v>
      </c>
      <c r="AU79" s="22" cm="1">
        <f t="array" aca="1" ref="AU79" ca="1">SUMPRODUCT(($E79:$AH79)*(AU$5=$E$5:$AH$5))</f>
        <v>165.74411783889497</v>
      </c>
      <c r="AV79" s="22" cm="1">
        <f t="array" aca="1" ref="AV79" ca="1">SUMPRODUCT(($E79:$AH79)*(AV$5=$E$5:$AH$5))</f>
        <v>466.26951965102376</v>
      </c>
      <c r="AW79" s="22" cm="1">
        <f t="array" aca="1" ref="AW79" ca="1">SUMPRODUCT(($E79:$AH79)*(AW$5=$E$5:$AH$5))</f>
        <v>489.28774795395054</v>
      </c>
    </row>
    <row r="80" spans="2:51" x14ac:dyDescent="0.2">
      <c r="P80" s="2"/>
      <c r="AM80" s="2"/>
    </row>
    <row r="81" spans="2:49" ht="16" thickBot="1" x14ac:dyDescent="0.25">
      <c r="B81" t="s">
        <v>12</v>
      </c>
      <c r="C81" s="34" t="s">
        <v>73</v>
      </c>
      <c r="D81" s="34"/>
      <c r="E81" s="67">
        <f>E69+E74+E79</f>
        <v>180.7728640635263</v>
      </c>
      <c r="F81" s="67">
        <f t="shared" ref="F81:AW81" si="64">F69+F74+F79</f>
        <v>160.61112390166181</v>
      </c>
      <c r="G81" s="67">
        <f t="shared" si="64"/>
        <v>145.03604874875441</v>
      </c>
      <c r="H81" s="67">
        <f t="shared" si="64"/>
        <v>145.51900925897115</v>
      </c>
      <c r="I81" s="67">
        <f t="shared" si="64"/>
        <v>145.36732897796907</v>
      </c>
      <c r="J81" s="67">
        <f t="shared" si="64"/>
        <v>176.75701293385504</v>
      </c>
      <c r="K81" s="67">
        <f t="shared" si="64"/>
        <v>190.63777283984737</v>
      </c>
      <c r="L81" s="67">
        <f>L69+L74+L79</f>
        <v>166.77450333175804</v>
      </c>
      <c r="M81" s="67">
        <f t="shared" si="64"/>
        <v>158.36881377268679</v>
      </c>
      <c r="N81" s="67">
        <f t="shared" si="64"/>
        <v>203.90553473801677</v>
      </c>
      <c r="O81" s="67">
        <f t="shared" si="64"/>
        <v>205.51530888445131</v>
      </c>
      <c r="P81" s="68">
        <f t="shared" si="64"/>
        <v>213.40401187736421</v>
      </c>
      <c r="Q81" s="67">
        <f t="shared" si="64"/>
        <v>197.86134000514889</v>
      </c>
      <c r="R81" s="67">
        <f t="shared" si="64"/>
        <v>172.33773503324278</v>
      </c>
      <c r="S81" s="67">
        <f t="shared" si="64"/>
        <v>157.97029196171533</v>
      </c>
      <c r="T81" s="67">
        <f t="shared" si="64"/>
        <v>159.09810992148152</v>
      </c>
      <c r="U81" s="67">
        <f t="shared" si="64"/>
        <v>156.76785280447933</v>
      </c>
      <c r="V81" s="67">
        <f t="shared" si="64"/>
        <v>201.12553493920402</v>
      </c>
      <c r="W81" s="67">
        <f t="shared" si="64"/>
        <v>193.86160153585652</v>
      </c>
      <c r="X81" s="67">
        <f t="shared" si="64"/>
        <v>172.04281111898945</v>
      </c>
      <c r="Y81" s="67">
        <f t="shared" si="64"/>
        <v>164.45093514268945</v>
      </c>
      <c r="Z81" s="67">
        <f t="shared" si="64"/>
        <v>225.12718298378599</v>
      </c>
      <c r="AA81" s="67">
        <f t="shared" si="64"/>
        <v>208.70950151163493</v>
      </c>
      <c r="AB81" s="67">
        <f t="shared" si="64"/>
        <v>222.90844545816631</v>
      </c>
      <c r="AC81" s="67">
        <f t="shared" si="64"/>
        <v>206.06532516277997</v>
      </c>
      <c r="AD81" s="67">
        <f t="shared" si="64"/>
        <v>179.39972891146465</v>
      </c>
      <c r="AE81" s="67">
        <f t="shared" si="64"/>
        <v>164.37418270615481</v>
      </c>
      <c r="AF81" s="67">
        <f t="shared" si="64"/>
        <v>165.57703643206136</v>
      </c>
      <c r="AG81" s="67">
        <f t="shared" si="64"/>
        <v>163.14580239096711</v>
      </c>
      <c r="AH81" s="67">
        <f t="shared" si="64"/>
        <v>209.54495071736952</v>
      </c>
      <c r="AJ81" s="67">
        <f t="shared" ca="1" si="64"/>
        <v>486.42003671394252</v>
      </c>
      <c r="AK81" s="67">
        <f t="shared" ca="1" si="64"/>
        <v>467.64335117079526</v>
      </c>
      <c r="AL81" s="67">
        <f t="shared" ca="1" si="64"/>
        <v>515.78108994429215</v>
      </c>
      <c r="AM81" s="68">
        <f t="shared" ca="1" si="64"/>
        <v>622.82485549983232</v>
      </c>
      <c r="AN81" s="67">
        <f t="shared" ca="1" si="64"/>
        <v>528.16936700010706</v>
      </c>
      <c r="AO81" s="67">
        <f t="shared" ca="1" si="64"/>
        <v>516.99149766516484</v>
      </c>
      <c r="AP81" s="67">
        <f t="shared" ca="1" si="64"/>
        <v>530.35534779753539</v>
      </c>
      <c r="AQ81" s="67">
        <f t="shared" ca="1" si="64"/>
        <v>656.74512995358725</v>
      </c>
      <c r="AR81" s="67">
        <f t="shared" ca="1" si="64"/>
        <v>549.83923678039946</v>
      </c>
      <c r="AS81" s="67">
        <f t="shared" ca="1" si="64"/>
        <v>538.2677895403981</v>
      </c>
      <c r="AU81" s="67">
        <f t="shared" ca="1" si="64"/>
        <v>954.06338788473772</v>
      </c>
      <c r="AV81" s="67">
        <f t="shared" ca="1" si="64"/>
        <v>2183.7668101093959</v>
      </c>
      <c r="AW81" s="67">
        <f t="shared" ca="1" si="64"/>
        <v>2275.2075040719201</v>
      </c>
    </row>
    <row r="82" spans="2:49" ht="16" thickTop="1" x14ac:dyDescent="0.2">
      <c r="P82" s="2"/>
      <c r="Q82" t="s">
        <v>65</v>
      </c>
    </row>
    <row r="83" spans="2:49" x14ac:dyDescent="0.2">
      <c r="C83" s="17" t="s">
        <v>74</v>
      </c>
      <c r="D83" s="17"/>
      <c r="E83" s="18" t="str">
        <f t="shared" ref="E83:AH83" si="65">E$9</f>
        <v>Jul-20A</v>
      </c>
      <c r="F83" s="18" t="str">
        <f t="shared" si="65"/>
        <v>Aug-20A</v>
      </c>
      <c r="G83" s="18" t="str">
        <f t="shared" si="65"/>
        <v>Sep-20A</v>
      </c>
      <c r="H83" s="18" t="str">
        <f t="shared" si="65"/>
        <v>Oct-20A</v>
      </c>
      <c r="I83" s="18" t="str">
        <f t="shared" si="65"/>
        <v>Nov-20A</v>
      </c>
      <c r="J83" s="18" t="str">
        <f t="shared" si="65"/>
        <v>Dec-20A</v>
      </c>
      <c r="K83" s="18" t="str">
        <f t="shared" si="65"/>
        <v>Jan-21A</v>
      </c>
      <c r="L83" s="18" t="str">
        <f t="shared" si="65"/>
        <v>Feb-21A</v>
      </c>
      <c r="M83" s="18" t="str">
        <f t="shared" si="65"/>
        <v>Mar-21A</v>
      </c>
      <c r="N83" s="18" t="str">
        <f t="shared" si="65"/>
        <v>Apr-21A</v>
      </c>
      <c r="O83" s="18" t="str">
        <f t="shared" si="65"/>
        <v>May-21A</v>
      </c>
      <c r="P83" s="19" t="str">
        <f t="shared" si="65"/>
        <v>Jun-21A</v>
      </c>
      <c r="Q83" s="18" t="str">
        <f t="shared" si="65"/>
        <v>Jul-21F</v>
      </c>
      <c r="R83" s="18" t="str">
        <f t="shared" si="65"/>
        <v>Aug-21F</v>
      </c>
      <c r="S83" s="18" t="str">
        <f t="shared" si="65"/>
        <v>Sep-21F</v>
      </c>
      <c r="T83" s="18" t="str">
        <f t="shared" si="65"/>
        <v>Oct-21F</v>
      </c>
      <c r="U83" s="18" t="str">
        <f t="shared" si="65"/>
        <v>Nov-21F</v>
      </c>
      <c r="V83" s="18" t="str">
        <f t="shared" si="65"/>
        <v>Dec-21F</v>
      </c>
      <c r="W83" s="18" t="str">
        <f t="shared" si="65"/>
        <v>Jan-22F</v>
      </c>
      <c r="X83" s="18" t="str">
        <f t="shared" si="65"/>
        <v>Feb-22F</v>
      </c>
      <c r="Y83" s="18" t="str">
        <f t="shared" si="65"/>
        <v>Mar-22F</v>
      </c>
      <c r="Z83" s="18" t="str">
        <f t="shared" si="65"/>
        <v>Apr-22F</v>
      </c>
      <c r="AA83" s="18" t="str">
        <f t="shared" si="65"/>
        <v>May-22F</v>
      </c>
      <c r="AB83" s="18" t="str">
        <f t="shared" si="65"/>
        <v>Jun-22F</v>
      </c>
      <c r="AC83" s="18" t="str">
        <f t="shared" si="65"/>
        <v>Jul-22F</v>
      </c>
      <c r="AD83" s="18" t="str">
        <f t="shared" si="65"/>
        <v>Aug-22F</v>
      </c>
      <c r="AE83" s="18" t="str">
        <f t="shared" si="65"/>
        <v>Sep-22F</v>
      </c>
      <c r="AF83" s="18" t="str">
        <f t="shared" si="65"/>
        <v>Oct-22F</v>
      </c>
      <c r="AG83" s="18" t="str">
        <f t="shared" si="65"/>
        <v>Nov-22F</v>
      </c>
      <c r="AH83" s="18" t="str">
        <f t="shared" si="65"/>
        <v>Dec-22F</v>
      </c>
      <c r="AJ83" s="18" t="str">
        <f ca="1">AJ$10</f>
        <v>Q3'20A</v>
      </c>
      <c r="AK83" s="18" t="str">
        <f t="shared" ref="AK83:AW83" ca="1" si="66">AK$10</f>
        <v>Q4'20A</v>
      </c>
      <c r="AL83" s="18" t="str">
        <f t="shared" ca="1" si="66"/>
        <v>Q1'21A</v>
      </c>
      <c r="AM83" s="19" t="str">
        <f t="shared" ca="1" si="66"/>
        <v>Q2'21A</v>
      </c>
      <c r="AN83" s="18" t="str">
        <f t="shared" ca="1" si="66"/>
        <v>Q3'21F</v>
      </c>
      <c r="AO83" s="18" t="str">
        <f t="shared" ca="1" si="66"/>
        <v>Q4'21F</v>
      </c>
      <c r="AP83" s="18" t="str">
        <f t="shared" ca="1" si="66"/>
        <v>Q1'22F</v>
      </c>
      <c r="AQ83" s="18" t="str">
        <f t="shared" ca="1" si="66"/>
        <v>Q2'22F</v>
      </c>
      <c r="AR83" s="18" t="str">
        <f t="shared" ca="1" si="66"/>
        <v>Q3'22F</v>
      </c>
      <c r="AS83" s="18" t="str">
        <f t="shared" ca="1" si="66"/>
        <v>Q4'22F</v>
      </c>
      <c r="AU83" s="18" t="str">
        <f t="shared" ca="1" si="66"/>
        <v>FY20</v>
      </c>
      <c r="AV83" s="18" t="str">
        <f t="shared" ca="1" si="66"/>
        <v>FY21</v>
      </c>
      <c r="AW83" s="18" t="str">
        <f t="shared" ca="1" si="66"/>
        <v>FY22</v>
      </c>
    </row>
    <row r="84" spans="2:49" x14ac:dyDescent="0.2">
      <c r="C84" s="20" t="s">
        <v>75</v>
      </c>
      <c r="D84" s="20"/>
      <c r="E84" s="82">
        <f>E91/E$97</f>
        <v>0.2718488606864724</v>
      </c>
      <c r="F84" s="82">
        <f t="shared" ref="F84:AH89" si="67">F91/F$97</f>
        <v>0.30228201634877383</v>
      </c>
      <c r="G84" s="82">
        <f t="shared" si="67"/>
        <v>0.25588445078459343</v>
      </c>
      <c r="H84" s="82">
        <f t="shared" si="67"/>
        <v>0.22419928825622773</v>
      </c>
      <c r="I84" s="82">
        <f t="shared" si="67"/>
        <v>0.21662189919418545</v>
      </c>
      <c r="J84" s="82">
        <f t="shared" si="67"/>
        <v>0.18742201147991014</v>
      </c>
      <c r="K84" s="82">
        <f t="shared" si="67"/>
        <v>0.27211267605633799</v>
      </c>
      <c r="L84" s="82">
        <f t="shared" si="67"/>
        <v>0.29835630084675407</v>
      </c>
      <c r="M84" s="82">
        <f t="shared" si="67"/>
        <v>0.25397667020148457</v>
      </c>
      <c r="N84" s="82">
        <f t="shared" si="67"/>
        <v>0.22834532374100719</v>
      </c>
      <c r="O84" s="82">
        <f t="shared" si="67"/>
        <v>0.22040549378678881</v>
      </c>
      <c r="P84" s="83">
        <f t="shared" si="67"/>
        <v>0.18835001283038236</v>
      </c>
      <c r="Q84" s="82">
        <f>E84</f>
        <v>0.2718488606864724</v>
      </c>
      <c r="R84" s="82">
        <f t="shared" ref="R84:AG89" si="68">F84</f>
        <v>0.30228201634877383</v>
      </c>
      <c r="S84" s="82">
        <f t="shared" si="68"/>
        <v>0.25588445078459343</v>
      </c>
      <c r="T84" s="82">
        <f t="shared" si="68"/>
        <v>0.22419928825622773</v>
      </c>
      <c r="U84" s="82">
        <f t="shared" si="68"/>
        <v>0.21662189919418545</v>
      </c>
      <c r="V84" s="82">
        <f t="shared" si="68"/>
        <v>0.18742201147991014</v>
      </c>
      <c r="W84" s="82">
        <f t="shared" si="68"/>
        <v>0.27211267605633799</v>
      </c>
      <c r="X84" s="82">
        <f t="shared" si="68"/>
        <v>0.29835630084675407</v>
      </c>
      <c r="Y84" s="82">
        <f t="shared" si="68"/>
        <v>0.25397667020148457</v>
      </c>
      <c r="Z84" s="82">
        <f t="shared" si="68"/>
        <v>0.22834532374100719</v>
      </c>
      <c r="AA84" s="82">
        <f t="shared" si="68"/>
        <v>0.22040549378678881</v>
      </c>
      <c r="AB84" s="82">
        <f t="shared" si="68"/>
        <v>0.18835001283038236</v>
      </c>
      <c r="AC84" s="82">
        <f t="shared" si="68"/>
        <v>0.2718488606864724</v>
      </c>
      <c r="AD84" s="82">
        <f t="shared" si="68"/>
        <v>0.30228201634877383</v>
      </c>
      <c r="AE84" s="82">
        <f t="shared" si="68"/>
        <v>0.25588445078459343</v>
      </c>
      <c r="AF84" s="82">
        <f t="shared" si="68"/>
        <v>0.22419928825622773</v>
      </c>
      <c r="AG84" s="82">
        <f t="shared" si="68"/>
        <v>0.21662189919418545</v>
      </c>
      <c r="AH84" s="82">
        <f t="shared" ref="R84:AH89" si="69">V84</f>
        <v>0.18742201147991014</v>
      </c>
      <c r="AJ84" s="82">
        <f ca="1">AJ91/AJ$97</f>
        <v>0.2771374758911444</v>
      </c>
      <c r="AK84" s="84">
        <f t="shared" ref="AK84:AW84" ca="1" si="70">AK91/AK$97</f>
        <v>0.20794299726787793</v>
      </c>
      <c r="AL84" s="84">
        <f t="shared" ca="1" si="70"/>
        <v>0.27502978524388405</v>
      </c>
      <c r="AM84" s="85">
        <f t="shared" ca="1" si="70"/>
        <v>0.21202144661830966</v>
      </c>
      <c r="AN84" s="84">
        <f t="shared" ca="1" si="70"/>
        <v>0.27700417410236439</v>
      </c>
      <c r="AO84" s="84">
        <f t="shared" ca="1" si="70"/>
        <v>0.20759410129061043</v>
      </c>
      <c r="AP84" s="84">
        <f t="shared" ca="1" si="70"/>
        <v>0.27500233082587255</v>
      </c>
      <c r="AQ84" s="84">
        <f t="shared" ca="1" si="70"/>
        <v>0.21224712970752777</v>
      </c>
      <c r="AR84" s="84">
        <f t="shared" ca="1" si="70"/>
        <v>0.27700593725731459</v>
      </c>
      <c r="AS84" s="84">
        <f t="shared" ca="1" si="70"/>
        <v>0.20758541679309647</v>
      </c>
      <c r="AT84" s="84"/>
      <c r="AU84" s="84">
        <f t="shared" ca="1" si="70"/>
        <v>0.24322113628855024</v>
      </c>
      <c r="AV84" s="84">
        <f t="shared" ca="1" si="70"/>
        <v>0.24157198993762624</v>
      </c>
      <c r="AW84" s="84">
        <f t="shared" ca="1" si="70"/>
        <v>0.24142259603685573</v>
      </c>
    </row>
    <row r="85" spans="2:49" x14ac:dyDescent="0.2">
      <c r="C85" s="20" t="s">
        <v>76</v>
      </c>
      <c r="D85" s="20"/>
      <c r="E85" s="82">
        <f t="shared" ref="E85:T89" si="71">E92/E$97</f>
        <v>0.43149697144505328</v>
      </c>
      <c r="F85" s="82">
        <f t="shared" si="71"/>
        <v>0.39901226158038144</v>
      </c>
      <c r="G85" s="82">
        <f t="shared" si="71"/>
        <v>0.42724679029957197</v>
      </c>
      <c r="H85" s="82">
        <f t="shared" si="71"/>
        <v>0.46377224199288258</v>
      </c>
      <c r="I85" s="82">
        <f t="shared" si="71"/>
        <v>0.46152630747353457</v>
      </c>
      <c r="J85" s="82">
        <f t="shared" si="71"/>
        <v>0.49550786124282509</v>
      </c>
      <c r="K85" s="82">
        <f t="shared" si="71"/>
        <v>0.430281690140845</v>
      </c>
      <c r="L85" s="82">
        <f t="shared" si="71"/>
        <v>0.40328739830649174</v>
      </c>
      <c r="M85" s="82">
        <f t="shared" si="71"/>
        <v>0.43336868151290203</v>
      </c>
      <c r="N85" s="82">
        <f t="shared" si="71"/>
        <v>0.45625899280575549</v>
      </c>
      <c r="O85" s="82">
        <f t="shared" si="71"/>
        <v>0.459123610202747</v>
      </c>
      <c r="P85" s="86">
        <f t="shared" si="71"/>
        <v>0.49486784706184245</v>
      </c>
      <c r="Q85" s="82">
        <f t="shared" ref="Q85:Q89" si="72">E85</f>
        <v>0.43149697144505328</v>
      </c>
      <c r="R85" s="82">
        <f t="shared" si="69"/>
        <v>0.39901226158038144</v>
      </c>
      <c r="S85" s="82">
        <f t="shared" si="69"/>
        <v>0.42724679029957197</v>
      </c>
      <c r="T85" s="82">
        <f t="shared" si="69"/>
        <v>0.46377224199288258</v>
      </c>
      <c r="U85" s="82">
        <f t="shared" si="69"/>
        <v>0.46152630747353457</v>
      </c>
      <c r="V85" s="82">
        <f t="shared" si="69"/>
        <v>0.49550786124282509</v>
      </c>
      <c r="W85" s="82">
        <f t="shared" si="69"/>
        <v>0.430281690140845</v>
      </c>
      <c r="X85" s="82">
        <f t="shared" si="69"/>
        <v>0.40328739830649174</v>
      </c>
      <c r="Y85" s="82">
        <f t="shared" si="69"/>
        <v>0.43336868151290203</v>
      </c>
      <c r="Z85" s="82">
        <f t="shared" si="69"/>
        <v>0.45625899280575549</v>
      </c>
      <c r="AA85" s="82">
        <f t="shared" si="69"/>
        <v>0.459123610202747</v>
      </c>
      <c r="AB85" s="82">
        <f t="shared" si="69"/>
        <v>0.49486784706184245</v>
      </c>
      <c r="AC85" s="82">
        <f t="shared" si="69"/>
        <v>0.43149697144505328</v>
      </c>
      <c r="AD85" s="82">
        <f t="shared" si="69"/>
        <v>0.39901226158038144</v>
      </c>
      <c r="AE85" s="82">
        <f t="shared" si="69"/>
        <v>0.42724679029957197</v>
      </c>
      <c r="AF85" s="82">
        <f t="shared" si="69"/>
        <v>0.46377224199288258</v>
      </c>
      <c r="AG85" s="82">
        <f t="shared" si="69"/>
        <v>0.46152630747353457</v>
      </c>
      <c r="AH85" s="82">
        <f t="shared" si="69"/>
        <v>0.49550786124282509</v>
      </c>
      <c r="AJ85" s="82">
        <f t="shared" ref="AJ85:AW89" ca="1" si="73">AJ92/AJ$97</f>
        <v>0.4195035608113088</v>
      </c>
      <c r="AK85" s="84">
        <f t="shared" ca="1" si="73"/>
        <v>0.47506932928571449</v>
      </c>
      <c r="AL85" s="84">
        <f t="shared" ca="1" si="73"/>
        <v>0.42250110932858403</v>
      </c>
      <c r="AM85" s="87">
        <f t="shared" ca="1" si="73"/>
        <v>0.4704331334866555</v>
      </c>
      <c r="AN85" s="84">
        <f t="shared" ca="1" si="73"/>
        <v>0.41962626468039887</v>
      </c>
      <c r="AO85" s="84">
        <f t="shared" ca="1" si="73"/>
        <v>0.47543733337904659</v>
      </c>
      <c r="AP85" s="84">
        <f t="shared" ca="1" si="73"/>
        <v>0.42248217373997449</v>
      </c>
      <c r="AQ85" s="84">
        <f t="shared" ca="1" si="73"/>
        <v>0.47027373327706024</v>
      </c>
      <c r="AR85" s="84">
        <f t="shared" ca="1" si="73"/>
        <v>0.41962737800925815</v>
      </c>
      <c r="AS85" s="84">
        <f t="shared" ca="1" si="73"/>
        <v>0.4754460298444706</v>
      </c>
      <c r="AT85" s="84"/>
      <c r="AU85" s="84">
        <f t="shared" ca="1" si="73"/>
        <v>0.44673965697611723</v>
      </c>
      <c r="AV85" s="84">
        <f t="shared" ca="1" si="73"/>
        <v>0.44800860794827724</v>
      </c>
      <c r="AW85" s="84">
        <f t="shared" ca="1" si="73"/>
        <v>0.44811760827490998</v>
      </c>
    </row>
    <row r="86" spans="2:49" x14ac:dyDescent="0.2">
      <c r="C86" s="20" t="s">
        <v>77</v>
      </c>
      <c r="D86" s="20"/>
      <c r="E86" s="82">
        <f t="shared" si="71"/>
        <v>0.19685607153158347</v>
      </c>
      <c r="F86" s="82">
        <f t="shared" si="67"/>
        <v>0.18511580381471388</v>
      </c>
      <c r="G86" s="82">
        <f t="shared" si="67"/>
        <v>0.19721825962910125</v>
      </c>
      <c r="H86" s="82">
        <f t="shared" si="67"/>
        <v>0.21338078291814946</v>
      </c>
      <c r="I86" s="82">
        <f t="shared" si="67"/>
        <v>0.21346184231316159</v>
      </c>
      <c r="J86" s="82">
        <f t="shared" si="67"/>
        <v>0.2279760419266284</v>
      </c>
      <c r="K86" s="82">
        <f t="shared" si="67"/>
        <v>0.19929577464788728</v>
      </c>
      <c r="L86" s="82">
        <f t="shared" si="67"/>
        <v>0.18661796446953344</v>
      </c>
      <c r="M86" s="82">
        <f t="shared" si="67"/>
        <v>0.19370802403676207</v>
      </c>
      <c r="N86" s="82">
        <f t="shared" si="67"/>
        <v>0.21640287769784172</v>
      </c>
      <c r="O86" s="82">
        <f t="shared" si="67"/>
        <v>0.20961412688031394</v>
      </c>
      <c r="P86" s="86">
        <f t="shared" si="67"/>
        <v>0.22645624839620221</v>
      </c>
      <c r="Q86" s="82">
        <f t="shared" si="72"/>
        <v>0.19685607153158347</v>
      </c>
      <c r="R86" s="82">
        <f t="shared" si="69"/>
        <v>0.18511580381471388</v>
      </c>
      <c r="S86" s="82">
        <f t="shared" si="69"/>
        <v>0.19721825962910125</v>
      </c>
      <c r="T86" s="82">
        <f t="shared" si="69"/>
        <v>0.21338078291814946</v>
      </c>
      <c r="U86" s="82">
        <f t="shared" si="69"/>
        <v>0.21346184231316159</v>
      </c>
      <c r="V86" s="82">
        <f t="shared" si="69"/>
        <v>0.2279760419266284</v>
      </c>
      <c r="W86" s="82">
        <f t="shared" si="69"/>
        <v>0.19929577464788728</v>
      </c>
      <c r="X86" s="82">
        <f t="shared" si="69"/>
        <v>0.18661796446953344</v>
      </c>
      <c r="Y86" s="82">
        <f t="shared" si="69"/>
        <v>0.19370802403676207</v>
      </c>
      <c r="Z86" s="82">
        <f t="shared" si="69"/>
        <v>0.21640287769784172</v>
      </c>
      <c r="AA86" s="82">
        <f t="shared" si="69"/>
        <v>0.20961412688031394</v>
      </c>
      <c r="AB86" s="82">
        <f t="shared" si="69"/>
        <v>0.22645624839620221</v>
      </c>
      <c r="AC86" s="82">
        <f t="shared" si="69"/>
        <v>0.19685607153158347</v>
      </c>
      <c r="AD86" s="82">
        <f t="shared" si="69"/>
        <v>0.18511580381471388</v>
      </c>
      <c r="AE86" s="82">
        <f t="shared" si="69"/>
        <v>0.19721825962910125</v>
      </c>
      <c r="AF86" s="82">
        <f t="shared" si="69"/>
        <v>0.21338078291814946</v>
      </c>
      <c r="AG86" s="82">
        <f t="shared" si="69"/>
        <v>0.21346184231316159</v>
      </c>
      <c r="AH86" s="82">
        <f t="shared" si="69"/>
        <v>0.2279760419266284</v>
      </c>
      <c r="AJ86" s="82">
        <f t="shared" ca="1" si="73"/>
        <v>0.19308754407796827</v>
      </c>
      <c r="AK86" s="84">
        <f t="shared" ca="1" si="73"/>
        <v>0.2189226082570275</v>
      </c>
      <c r="AL86" s="84">
        <f t="shared" ca="1" si="73"/>
        <v>0.19348078648673794</v>
      </c>
      <c r="AM86" s="87">
        <f t="shared" ca="1" si="73"/>
        <v>0.21760744975705179</v>
      </c>
      <c r="AN86" s="84">
        <f t="shared" ca="1" si="73"/>
        <v>0.19313363643720044</v>
      </c>
      <c r="AO86" s="84">
        <f t="shared" ca="1" si="73"/>
        <v>0.21908336564199851</v>
      </c>
      <c r="AP86" s="84">
        <f t="shared" ca="1" si="73"/>
        <v>0.193450567414408</v>
      </c>
      <c r="AQ86" s="84">
        <f t="shared" ca="1" si="73"/>
        <v>0.21765770913455371</v>
      </c>
      <c r="AR86" s="84">
        <f t="shared" ca="1" si="73"/>
        <v>0.19313377174588006</v>
      </c>
      <c r="AS86" s="84">
        <f t="shared" ca="1" si="73"/>
        <v>0.21908721267182696</v>
      </c>
      <c r="AT86" s="84"/>
      <c r="AU86" s="84">
        <f t="shared" ca="1" si="73"/>
        <v>0.2057508494136798</v>
      </c>
      <c r="AV86" s="84">
        <f t="shared" ca="1" si="73"/>
        <v>0.20633914075546619</v>
      </c>
      <c r="AW86" s="84">
        <f t="shared" ca="1" si="73"/>
        <v>0.20642657776392914</v>
      </c>
    </row>
    <row r="87" spans="2:49" x14ac:dyDescent="0.2">
      <c r="C87" s="20" t="s">
        <v>78</v>
      </c>
      <c r="D87" s="20"/>
      <c r="E87" s="82">
        <f t="shared" si="71"/>
        <v>8.6530141332564162E-2</v>
      </c>
      <c r="F87" s="82">
        <f t="shared" si="67"/>
        <v>0.10217983651226158</v>
      </c>
      <c r="G87" s="82">
        <f t="shared" si="67"/>
        <v>0.10699001426533522</v>
      </c>
      <c r="H87" s="82">
        <f t="shared" si="67"/>
        <v>8.5409252669039148E-2</v>
      </c>
      <c r="I87" s="82">
        <f t="shared" si="67"/>
        <v>9.480170643071574E-2</v>
      </c>
      <c r="J87" s="82">
        <f t="shared" si="67"/>
        <v>7.4868979286249068E-2</v>
      </c>
      <c r="K87" s="82">
        <f t="shared" si="67"/>
        <v>8.4507042253521111E-2</v>
      </c>
      <c r="L87" s="82">
        <f t="shared" si="67"/>
        <v>9.9618130499750962E-2</v>
      </c>
      <c r="M87" s="82">
        <f t="shared" si="67"/>
        <v>0.10604453870625662</v>
      </c>
      <c r="N87" s="82">
        <f t="shared" si="67"/>
        <v>8.633093525179858E-2</v>
      </c>
      <c r="O87" s="82">
        <f t="shared" si="67"/>
        <v>9.8103335513407455E-2</v>
      </c>
      <c r="P87" s="86">
        <f t="shared" si="67"/>
        <v>7.6982294072363358E-2</v>
      </c>
      <c r="Q87" s="82">
        <f t="shared" si="72"/>
        <v>8.6530141332564162E-2</v>
      </c>
      <c r="R87" s="82">
        <f t="shared" si="69"/>
        <v>0.10217983651226158</v>
      </c>
      <c r="S87" s="82">
        <f t="shared" si="69"/>
        <v>0.10699001426533522</v>
      </c>
      <c r="T87" s="82">
        <f t="shared" si="69"/>
        <v>8.5409252669039148E-2</v>
      </c>
      <c r="U87" s="82">
        <f t="shared" si="69"/>
        <v>9.480170643071574E-2</v>
      </c>
      <c r="V87" s="82">
        <f t="shared" si="69"/>
        <v>7.4868979286249068E-2</v>
      </c>
      <c r="W87" s="82">
        <f t="shared" si="69"/>
        <v>8.4507042253521111E-2</v>
      </c>
      <c r="X87" s="82">
        <f t="shared" si="69"/>
        <v>9.9618130499750962E-2</v>
      </c>
      <c r="Y87" s="82">
        <f t="shared" si="69"/>
        <v>0.10604453870625662</v>
      </c>
      <c r="Z87" s="82">
        <f t="shared" si="69"/>
        <v>8.633093525179858E-2</v>
      </c>
      <c r="AA87" s="82">
        <f t="shared" si="69"/>
        <v>9.8103335513407455E-2</v>
      </c>
      <c r="AB87" s="82">
        <f t="shared" si="69"/>
        <v>7.6982294072363358E-2</v>
      </c>
      <c r="AC87" s="82">
        <f t="shared" si="69"/>
        <v>8.6530141332564162E-2</v>
      </c>
      <c r="AD87" s="82">
        <f t="shared" si="69"/>
        <v>0.10217983651226158</v>
      </c>
      <c r="AE87" s="82">
        <f t="shared" si="69"/>
        <v>0.10699001426533522</v>
      </c>
      <c r="AF87" s="82">
        <f t="shared" si="69"/>
        <v>8.5409252669039148E-2</v>
      </c>
      <c r="AG87" s="82">
        <f t="shared" si="69"/>
        <v>9.480170643071574E-2</v>
      </c>
      <c r="AH87" s="82">
        <f t="shared" si="69"/>
        <v>7.4868979286249068E-2</v>
      </c>
      <c r="AJ87" s="82">
        <f t="shared" ca="1" si="73"/>
        <v>9.7798045296034322E-2</v>
      </c>
      <c r="AK87" s="84">
        <f t="shared" ca="1" si="73"/>
        <v>8.4344955867816332E-2</v>
      </c>
      <c r="AL87" s="84">
        <f t="shared" ca="1" si="73"/>
        <v>9.6006129981923705E-2</v>
      </c>
      <c r="AM87" s="87">
        <f t="shared" ca="1" si="73"/>
        <v>8.701230006734044E-2</v>
      </c>
      <c r="AN87" s="84">
        <f t="shared" ca="1" si="73"/>
        <v>9.7755868329181067E-2</v>
      </c>
      <c r="AO87" s="84">
        <f t="shared" ca="1" si="73"/>
        <v>8.4156846552768602E-2</v>
      </c>
      <c r="AP87" s="84">
        <f t="shared" ca="1" si="73"/>
        <v>9.6087231948483537E-2</v>
      </c>
      <c r="AQ87" s="84">
        <f t="shared" ca="1" si="73"/>
        <v>8.6899071505459238E-2</v>
      </c>
      <c r="AR87" s="84">
        <f t="shared" ca="1" si="73"/>
        <v>9.7752741597530876E-2</v>
      </c>
      <c r="AS87" s="84">
        <f t="shared" ca="1" si="73"/>
        <v>8.4152774621647441E-2</v>
      </c>
      <c r="AT87" s="84"/>
      <c r="AU87" s="84">
        <f t="shared" ca="1" si="73"/>
        <v>9.1203884044588929E-2</v>
      </c>
      <c r="AV87" s="84">
        <f t="shared" ca="1" si="73"/>
        <v>9.1058989399907822E-2</v>
      </c>
      <c r="AW87" s="84">
        <f t="shared" ca="1" si="73"/>
        <v>9.1014089822357161E-2</v>
      </c>
    </row>
    <row r="88" spans="2:49" x14ac:dyDescent="0.2">
      <c r="C88" s="20" t="s">
        <v>79</v>
      </c>
      <c r="D88" s="20"/>
      <c r="E88" s="82">
        <f t="shared" si="71"/>
        <v>5.3360253821747904E-3</v>
      </c>
      <c r="F88" s="82">
        <f t="shared" si="67"/>
        <v>4.5980926430517714E-3</v>
      </c>
      <c r="G88" s="82">
        <f t="shared" si="67"/>
        <v>4.6362339514978597E-3</v>
      </c>
      <c r="H88" s="82">
        <f t="shared" si="67"/>
        <v>4.8398576512455518E-3</v>
      </c>
      <c r="I88" s="82">
        <f t="shared" si="67"/>
        <v>5.5300995417917513E-3</v>
      </c>
      <c r="J88" s="82">
        <f t="shared" si="67"/>
        <v>6.2390816071874224E-3</v>
      </c>
      <c r="K88" s="82">
        <f t="shared" si="67"/>
        <v>5.2112676056338021E-3</v>
      </c>
      <c r="L88" s="82">
        <f t="shared" si="67"/>
        <v>4.4828158724887924E-3</v>
      </c>
      <c r="M88" s="82">
        <f t="shared" si="67"/>
        <v>4.5952633439377867E-3</v>
      </c>
      <c r="N88" s="82">
        <f t="shared" si="67"/>
        <v>4.8920863309352518E-3</v>
      </c>
      <c r="O88" s="82">
        <f t="shared" si="67"/>
        <v>5.7226945716154359E-3</v>
      </c>
      <c r="P88" s="86">
        <f t="shared" si="67"/>
        <v>6.4151911726969468E-3</v>
      </c>
      <c r="Q88" s="82">
        <f t="shared" si="72"/>
        <v>5.3360253821747904E-3</v>
      </c>
      <c r="R88" s="82">
        <f t="shared" si="69"/>
        <v>4.5980926430517714E-3</v>
      </c>
      <c r="S88" s="82">
        <f t="shared" si="69"/>
        <v>4.6362339514978597E-3</v>
      </c>
      <c r="T88" s="82">
        <f t="shared" si="69"/>
        <v>4.8398576512455518E-3</v>
      </c>
      <c r="U88" s="82">
        <f t="shared" si="69"/>
        <v>5.5300995417917513E-3</v>
      </c>
      <c r="V88" s="82">
        <f t="shared" si="69"/>
        <v>6.2390816071874224E-3</v>
      </c>
      <c r="W88" s="82">
        <f t="shared" si="69"/>
        <v>5.2112676056338021E-3</v>
      </c>
      <c r="X88" s="82">
        <f t="shared" si="69"/>
        <v>4.4828158724887924E-3</v>
      </c>
      <c r="Y88" s="82">
        <f t="shared" si="69"/>
        <v>4.5952633439377867E-3</v>
      </c>
      <c r="Z88" s="82">
        <f t="shared" si="69"/>
        <v>4.8920863309352518E-3</v>
      </c>
      <c r="AA88" s="82">
        <f t="shared" si="69"/>
        <v>5.7226945716154359E-3</v>
      </c>
      <c r="AB88" s="82">
        <f t="shared" si="69"/>
        <v>6.4151911726969468E-3</v>
      </c>
      <c r="AC88" s="82">
        <f t="shared" si="69"/>
        <v>5.3360253821747904E-3</v>
      </c>
      <c r="AD88" s="82">
        <f t="shared" si="69"/>
        <v>4.5980926430517714E-3</v>
      </c>
      <c r="AE88" s="82">
        <f t="shared" si="69"/>
        <v>4.6362339514978597E-3</v>
      </c>
      <c r="AF88" s="82">
        <f t="shared" si="69"/>
        <v>4.8398576512455518E-3</v>
      </c>
      <c r="AG88" s="82">
        <f t="shared" si="69"/>
        <v>5.5300995417917513E-3</v>
      </c>
      <c r="AH88" s="82">
        <f t="shared" si="69"/>
        <v>6.2390816071874224E-3</v>
      </c>
      <c r="AJ88" s="82">
        <f t="shared" ca="1" si="73"/>
        <v>4.883710152452073E-3</v>
      </c>
      <c r="AK88" s="84">
        <f t="shared" ca="1" si="73"/>
        <v>5.5832901537814575E-3</v>
      </c>
      <c r="AL88" s="84">
        <f t="shared" ca="1" si="73"/>
        <v>4.7865854207483644E-3</v>
      </c>
      <c r="AM88" s="87">
        <f t="shared" ca="1" si="73"/>
        <v>5.6880394604700377E-3</v>
      </c>
      <c r="AN88" s="84">
        <f t="shared" ca="1" si="73"/>
        <v>4.8859426467183992E-3</v>
      </c>
      <c r="AO88" s="84">
        <f t="shared" ca="1" si="73"/>
        <v>5.5935013910262312E-3</v>
      </c>
      <c r="AP88" s="84">
        <f t="shared" ca="1" si="73"/>
        <v>4.7839553106532786E-3</v>
      </c>
      <c r="AQ88" s="84">
        <f t="shared" ca="1" si="73"/>
        <v>5.6730114433102266E-3</v>
      </c>
      <c r="AR88" s="84">
        <f t="shared" ca="1" si="73"/>
        <v>4.8860528060367427E-3</v>
      </c>
      <c r="AS88" s="84">
        <f t="shared" ca="1" si="73"/>
        <v>5.5937767782175052E-3</v>
      </c>
      <c r="AT88" s="84"/>
      <c r="AU88" s="84">
        <f t="shared" ca="1" si="73"/>
        <v>5.2266160226365254E-3</v>
      </c>
      <c r="AV88" s="84">
        <f t="shared" ca="1" si="73"/>
        <v>5.2587485273435774E-3</v>
      </c>
      <c r="AW88" s="84">
        <f t="shared" ca="1" si="73"/>
        <v>5.256844620159881E-3</v>
      </c>
    </row>
    <row r="89" spans="2:49" x14ac:dyDescent="0.2">
      <c r="C89" s="20" t="s">
        <v>80</v>
      </c>
      <c r="D89" s="20"/>
      <c r="E89" s="82">
        <f t="shared" si="71"/>
        <v>7.9319296221517146E-3</v>
      </c>
      <c r="F89" s="82">
        <f t="shared" si="67"/>
        <v>6.8119891008174378E-3</v>
      </c>
      <c r="G89" s="82">
        <f t="shared" si="67"/>
        <v>8.0242510699001408E-3</v>
      </c>
      <c r="H89" s="82">
        <f t="shared" si="67"/>
        <v>8.3985765124555169E-3</v>
      </c>
      <c r="I89" s="82">
        <f t="shared" si="67"/>
        <v>8.0581450466108377E-3</v>
      </c>
      <c r="J89" s="82">
        <f t="shared" si="67"/>
        <v>7.9860244571999008E-3</v>
      </c>
      <c r="K89" s="82">
        <f t="shared" si="67"/>
        <v>8.5915492957746465E-3</v>
      </c>
      <c r="L89" s="82">
        <f t="shared" si="67"/>
        <v>7.6373900049809054E-3</v>
      </c>
      <c r="M89" s="82">
        <f t="shared" si="67"/>
        <v>8.3068221986567683E-3</v>
      </c>
      <c r="N89" s="82">
        <f t="shared" si="67"/>
        <v>7.769784172661871E-3</v>
      </c>
      <c r="O89" s="82">
        <f t="shared" si="67"/>
        <v>7.0307390451275348E-3</v>
      </c>
      <c r="P89" s="86">
        <f t="shared" si="67"/>
        <v>6.9284064665127024E-3</v>
      </c>
      <c r="Q89" s="82">
        <f t="shared" si="72"/>
        <v>7.9319296221517146E-3</v>
      </c>
      <c r="R89" s="82">
        <f t="shared" si="69"/>
        <v>6.8119891008174378E-3</v>
      </c>
      <c r="S89" s="82">
        <f t="shared" si="69"/>
        <v>8.0242510699001408E-3</v>
      </c>
      <c r="T89" s="82">
        <f t="shared" si="69"/>
        <v>8.3985765124555169E-3</v>
      </c>
      <c r="U89" s="82">
        <f t="shared" si="69"/>
        <v>8.0581450466108377E-3</v>
      </c>
      <c r="V89" s="82">
        <f t="shared" si="69"/>
        <v>7.9860244571999008E-3</v>
      </c>
      <c r="W89" s="82">
        <f t="shared" si="69"/>
        <v>8.5915492957746465E-3</v>
      </c>
      <c r="X89" s="82">
        <f t="shared" si="69"/>
        <v>7.6373900049809054E-3</v>
      </c>
      <c r="Y89" s="82">
        <f t="shared" si="69"/>
        <v>8.3068221986567683E-3</v>
      </c>
      <c r="Z89" s="82">
        <f t="shared" si="69"/>
        <v>7.769784172661871E-3</v>
      </c>
      <c r="AA89" s="82">
        <f t="shared" si="69"/>
        <v>7.0307390451275348E-3</v>
      </c>
      <c r="AB89" s="82">
        <f t="shared" si="69"/>
        <v>6.9284064665127024E-3</v>
      </c>
      <c r="AC89" s="82">
        <f t="shared" si="69"/>
        <v>7.9319296221517146E-3</v>
      </c>
      <c r="AD89" s="82">
        <f t="shared" si="69"/>
        <v>6.8119891008174378E-3</v>
      </c>
      <c r="AE89" s="82">
        <f t="shared" si="69"/>
        <v>8.0242510699001408E-3</v>
      </c>
      <c r="AF89" s="82">
        <f t="shared" si="69"/>
        <v>8.3985765124555169E-3</v>
      </c>
      <c r="AG89" s="82">
        <f t="shared" si="69"/>
        <v>8.0581450466108377E-3</v>
      </c>
      <c r="AH89" s="82">
        <f t="shared" si="69"/>
        <v>7.9860244571999008E-3</v>
      </c>
      <c r="AJ89" s="82">
        <f t="shared" ca="1" si="73"/>
        <v>7.5896637710921666E-3</v>
      </c>
      <c r="AK89" s="84">
        <f t="shared" ca="1" si="73"/>
        <v>8.1368191677821944E-3</v>
      </c>
      <c r="AL89" s="84">
        <f t="shared" ca="1" si="73"/>
        <v>8.1956035381217946E-3</v>
      </c>
      <c r="AM89" s="87">
        <f t="shared" ca="1" si="73"/>
        <v>7.2376306101724812E-3</v>
      </c>
      <c r="AN89" s="84">
        <f t="shared" ca="1" si="73"/>
        <v>7.5941138041368175E-3</v>
      </c>
      <c r="AO89" s="84">
        <f t="shared" ca="1" si="73"/>
        <v>8.1348517445495455E-3</v>
      </c>
      <c r="AP89" s="84">
        <f t="shared" ca="1" si="73"/>
        <v>8.1937407606083416E-3</v>
      </c>
      <c r="AQ89" s="84">
        <f t="shared" ca="1" si="73"/>
        <v>7.249344932088714E-3</v>
      </c>
      <c r="AR89" s="84">
        <f t="shared" ca="1" si="73"/>
        <v>7.5941185839798076E-3</v>
      </c>
      <c r="AS89" s="84">
        <f t="shared" ca="1" si="73"/>
        <v>8.1347892907410457E-3</v>
      </c>
      <c r="AT89" s="84"/>
      <c r="AU89" s="84">
        <f t="shared" ca="1" si="73"/>
        <v>7.8578572544272824E-3</v>
      </c>
      <c r="AV89" s="84">
        <f t="shared" ca="1" si="73"/>
        <v>7.7625234313790474E-3</v>
      </c>
      <c r="AW89" s="84">
        <f t="shared" ca="1" si="73"/>
        <v>7.7622834817880348E-3</v>
      </c>
    </row>
    <row r="90" spans="2:49" x14ac:dyDescent="0.2">
      <c r="C90" s="20"/>
      <c r="D90" s="20"/>
      <c r="E90" s="82"/>
      <c r="F90" s="82"/>
      <c r="G90" s="82"/>
      <c r="H90" s="82"/>
      <c r="I90" s="82"/>
      <c r="J90" s="88"/>
      <c r="K90" s="82"/>
      <c r="L90" s="82"/>
      <c r="M90" s="82"/>
      <c r="N90" s="82"/>
      <c r="O90" s="82"/>
      <c r="P90" s="86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M90" s="2"/>
    </row>
    <row r="91" spans="2:49" x14ac:dyDescent="0.2">
      <c r="C91" s="20" t="s">
        <v>81</v>
      </c>
      <c r="D91" s="20"/>
      <c r="E91" s="66">
        <v>49.142897138700178</v>
      </c>
      <c r="F91" s="66">
        <v>48.549854381037072</v>
      </c>
      <c r="G91" s="66">
        <v>37.112469678042544</v>
      </c>
      <c r="H91" s="66">
        <v>32.625258303612746</v>
      </c>
      <c r="I91" s="66">
        <v>31.489746883993607</v>
      </c>
      <c r="J91" s="41">
        <v>33.128154907243605</v>
      </c>
      <c r="K91" s="66">
        <v>51.874954524871136</v>
      </c>
      <c r="L91" s="66">
        <v>49.758223889617994</v>
      </c>
      <c r="M91" s="66">
        <v>40.221983985746</v>
      </c>
      <c r="N91" s="66">
        <v>46.560875342335628</v>
      </c>
      <c r="O91" s="66">
        <v>45.296703135421915</v>
      </c>
      <c r="P91" s="42">
        <v>40.194648375156618</v>
      </c>
      <c r="Q91" s="64">
        <f>Q84*Q$97</f>
        <v>53.788379854298469</v>
      </c>
      <c r="R91" s="64">
        <f t="shared" ref="R91:AH96" si="74">R84*R$97</f>
        <v>52.094598038829346</v>
      </c>
      <c r="S91" s="64">
        <f t="shared" si="74"/>
        <v>40.422141398905403</v>
      </c>
      <c r="T91" s="64">
        <f t="shared" si="74"/>
        <v>35.669683007307242</v>
      </c>
      <c r="U91" s="64">
        <f t="shared" si="74"/>
        <v>33.959350007100824</v>
      </c>
      <c r="V91" s="64">
        <f t="shared" si="74"/>
        <v>37.695352318278566</v>
      </c>
      <c r="W91" s="64">
        <f t="shared" si="74"/>
        <v>52.752199178489398</v>
      </c>
      <c r="X91" s="64">
        <f t="shared" si="74"/>
        <v>51.330056712738504</v>
      </c>
      <c r="Y91" s="64">
        <f t="shared" si="74"/>
        <v>41.766700919060568</v>
      </c>
      <c r="Z91" s="64">
        <f t="shared" si="74"/>
        <v>51.406739481333574</v>
      </c>
      <c r="AA91" s="64">
        <f t="shared" si="74"/>
        <v>46.000720738666438</v>
      </c>
      <c r="AB91" s="64">
        <f t="shared" si="74"/>
        <v>41.984808562046211</v>
      </c>
      <c r="AC91" s="64">
        <f t="shared" si="74"/>
        <v>56.018623872489208</v>
      </c>
      <c r="AD91" s="64">
        <f t="shared" si="74"/>
        <v>54.229311787780951</v>
      </c>
      <c r="AE91" s="64">
        <f t="shared" si="74"/>
        <v>42.060797464930843</v>
      </c>
      <c r="AF91" s="64">
        <f t="shared" si="74"/>
        <v>37.122253719643645</v>
      </c>
      <c r="AG91" s="64">
        <f t="shared" si="74"/>
        <v>35.340953559490579</v>
      </c>
      <c r="AH91" s="64">
        <f t="shared" si="74"/>
        <v>39.27333615890803</v>
      </c>
      <c r="AJ91" s="22" cm="1">
        <f t="array" aca="1" ref="AJ91" ca="1">SUMPRODUCT(($E91:$AH91)*(AJ$3&amp;AJ$4&amp;AJ$5&amp;AJ$6=$E$3:$AH$3&amp;$E$4:$AH$4&amp;$E$5:$AH$5&amp;$E$6:$AH$6))</f>
        <v>134.80522119777979</v>
      </c>
      <c r="AK91" s="22" cm="1">
        <f t="array" aca="1" ref="AK91" ca="1">SUMPRODUCT(($E91:$AH91)*(AK$3=$E$3:$AH$3)*(AK$4=$E$4:$AH$4)*(AK$5=$E$5:$AH$5)*(AK$6=$E$6:$AH$6))</f>
        <v>97.243160094849969</v>
      </c>
      <c r="AL91" s="22" cm="1">
        <f t="array" aca="1" ref="AL91" ca="1">SUMPRODUCT(($E91:$AH91)*(AL$3=$E$3:$AH$3)*(AL$4=$E$4:$AH$4)*(AL$5=$E$5:$AH$5)*(AL$6=$E$6:$AH$6))</f>
        <v>141.85516240023512</v>
      </c>
      <c r="AM91" s="23" cm="1">
        <f t="array" aca="1" ref="AM91" ca="1">SUMPRODUCT(($E91:$AH91)*(AM$3=$E$3:$AH$3)*(AM$4=$E$4:$AH$4)*(AM$5=$E$5:$AH$5)*(AM$6=$E$6:$AH$6))</f>
        <v>132.05222685291415</v>
      </c>
      <c r="AN91" s="22" cm="1">
        <f t="array" aca="1" ref="AN91" ca="1">SUMPRODUCT(($E91:$AH91)*(AN$3=$E$3:$AH$3)*(AN$4=$E$4:$AH$4)*(AN$5=$E$5:$AH$5)*(AN$6=$E$6:$AH$6))</f>
        <v>146.30511929203323</v>
      </c>
      <c r="AO91" s="22" cm="1">
        <f t="array" aca="1" ref="AO91" ca="1">SUMPRODUCT(($E91:$AH91)*(AO$3=$E$3:$AH$3)*(AO$4=$E$4:$AH$4)*(AO$5=$E$5:$AH$5)*(AO$6=$E$6:$AH$6))</f>
        <v>107.32438533268663</v>
      </c>
      <c r="AP91" s="22" cm="1">
        <f t="array" aca="1" ref="AP91" ca="1">SUMPRODUCT(($E91:$AH91)*(AP$3=$E$3:$AH$3)*(AP$4=$E$4:$AH$4)*(AP$5=$E$5:$AH$5)*(AP$6=$E$6:$AH$6))</f>
        <v>145.84895681028848</v>
      </c>
      <c r="AQ91" s="22" cm="1">
        <f t="array" aca="1" ref="AQ91" ca="1">SUMPRODUCT(($E91:$AH91)*(AQ$3=$E$3:$AH$3)*(AQ$4=$E$4:$AH$4)*(AQ$5=$E$5:$AH$5)*(AQ$6=$E$6:$AH$6))</f>
        <v>139.39226878204624</v>
      </c>
      <c r="AR91" s="22" cm="1">
        <f t="array" aca="1" ref="AR91" ca="1">SUMPRODUCT(($E91:$AH91)*(AR$3=$E$3:$AH$3)*(AR$4=$E$4:$AH$4)*(AR$5=$E$5:$AH$5)*(AR$6=$E$6:$AH$6))</f>
        <v>152.308733125201</v>
      </c>
      <c r="AS91" s="22" cm="1">
        <f t="array" aca="1" ref="AS91" ca="1">SUMPRODUCT(($E91:$AH91)*(AS$3=$E$3:$AH$3)*(AS$4=$E$4:$AH$4)*(AS$5=$E$5:$AH$5)*(AS$6=$E$6:$AH$6))</f>
        <v>111.73654343804225</v>
      </c>
      <c r="AT91" s="22"/>
      <c r="AU91" s="22" cm="1">
        <f t="array" aca="1" ref="AU91" ca="1">SUMPRODUCT(($E91:$AH91)*(AU$5=$E$5:$AH$5))</f>
        <v>232.04838129262976</v>
      </c>
      <c r="AV91" s="22" cm="1">
        <f t="array" aca="1" ref="AV91" ca="1">SUMPRODUCT(($E91:$AH91)*(AV$5=$E$5:$AH$5))</f>
        <v>527.53689387786915</v>
      </c>
      <c r="AW91" s="22" cm="1">
        <f t="array" aca="1" ref="AW91" ca="1">SUMPRODUCT(($E91:$AH91)*(AW$5=$E$5:$AH$5))</f>
        <v>549.28650215557798</v>
      </c>
    </row>
    <row r="92" spans="2:49" x14ac:dyDescent="0.2">
      <c r="C92" s="20" t="s">
        <v>82</v>
      </c>
      <c r="D92" s="20"/>
      <c r="E92" s="66">
        <v>78.002943362859909</v>
      </c>
      <c r="F92" s="66">
        <v>64.085807782968942</v>
      </c>
      <c r="G92" s="66">
        <v>61.966186305637571</v>
      </c>
      <c r="H92" s="66">
        <v>67.487677176616089</v>
      </c>
      <c r="I92" s="66">
        <v>67.090846570492602</v>
      </c>
      <c r="J92" s="41">
        <v>87.584489438524884</v>
      </c>
      <c r="K92" s="66">
        <v>82.027943102216</v>
      </c>
      <c r="L92" s="66">
        <v>67.258055552522038</v>
      </c>
      <c r="M92" s="66">
        <v>68.632084017431595</v>
      </c>
      <c r="N92" s="66">
        <v>93.033733907086514</v>
      </c>
      <c r="O92" s="66">
        <v>94.356930566961978</v>
      </c>
      <c r="P92" s="42">
        <v>105.60678391211108</v>
      </c>
      <c r="Q92" s="64">
        <f t="shared" ref="Q92:AF96" si="75">Q85*Q$97</f>
        <v>85.376568978281711</v>
      </c>
      <c r="R92" s="64">
        <f t="shared" si="75"/>
        <v>68.764869411254736</v>
      </c>
      <c r="S92" s="64">
        <f t="shared" si="75"/>
        <v>67.492300203329151</v>
      </c>
      <c r="T92" s="64">
        <f t="shared" si="75"/>
        <v>73.785287135115567</v>
      </c>
      <c r="U92" s="64">
        <f t="shared" si="75"/>
        <v>72.352488235405943</v>
      </c>
      <c r="V92" s="64">
        <f t="shared" si="75"/>
        <v>99.659283659044078</v>
      </c>
      <c r="W92" s="64">
        <f t="shared" si="75"/>
        <v>83.415097562259376</v>
      </c>
      <c r="X92" s="64">
        <f t="shared" si="75"/>
        <v>69.382697693512426</v>
      </c>
      <c r="Y92" s="64">
        <f t="shared" si="75"/>
        <v>71.267884936351095</v>
      </c>
      <c r="Z92" s="64">
        <f t="shared" si="75"/>
        <v>102.71630176137921</v>
      </c>
      <c r="AA92" s="64">
        <f t="shared" si="75"/>
        <v>95.823459817637513</v>
      </c>
      <c r="AB92" s="64">
        <f t="shared" si="75"/>
        <v>110.3102224957849</v>
      </c>
      <c r="AC92" s="64">
        <f t="shared" si="75"/>
        <v>88.916563727579685</v>
      </c>
      <c r="AD92" s="64">
        <f t="shared" si="75"/>
        <v>71.582691559870852</v>
      </c>
      <c r="AE92" s="64">
        <f t="shared" si="75"/>
        <v>70.228341969320056</v>
      </c>
      <c r="AF92" s="64">
        <f t="shared" si="75"/>
        <v>76.790033408634301</v>
      </c>
      <c r="AG92" s="64">
        <f t="shared" si="74"/>
        <v>75.296079757309997</v>
      </c>
      <c r="AH92" s="64">
        <f t="shared" si="74"/>
        <v>103.83117036419695</v>
      </c>
      <c r="AJ92" s="22" cm="1">
        <f t="array" aca="1" ref="AJ92" ca="1">SUMPRODUCT(($E92:$AH92)*(AJ$3&amp;AJ$4&amp;AJ$5&amp;AJ$6=$E$3:$AH$3&amp;$E$4:$AH$4&amp;$E$5:$AH$5&amp;$E$6:$AH$6))</f>
        <v>204.0549374514664</v>
      </c>
      <c r="AK92" s="22" cm="1">
        <f t="array" aca="1" ref="AK92" ca="1">SUMPRODUCT(($E92:$AH92)*(AK$3=$E$3:$AH$3)*(AK$4=$E$4:$AH$4)*(AK$5=$E$5:$AH$5)*(AK$6=$E$6:$AH$6))</f>
        <v>222.16301318563359</v>
      </c>
      <c r="AL92" s="22" cm="1">
        <f t="array" aca="1" ref="AL92" ca="1">SUMPRODUCT(($E92:$AH92)*(AL$3=$E$3:$AH$3)*(AL$4=$E$4:$AH$4)*(AL$5=$E$5:$AH$5)*(AL$6=$E$6:$AH$6))</f>
        <v>217.91808267216962</v>
      </c>
      <c r="AM92" s="23" cm="1">
        <f t="array" aca="1" ref="AM92" ca="1">SUMPRODUCT(($E92:$AH92)*(AM$3=$E$3:$AH$3)*(AM$4=$E$4:$AH$4)*(AM$5=$E$5:$AH$5)*(AM$6=$E$6:$AH$6))</f>
        <v>292.99744838615959</v>
      </c>
      <c r="AN92" s="22" cm="1">
        <f t="array" aca="1" ref="AN92" ca="1">SUMPRODUCT(($E92:$AH92)*(AN$3=$E$3:$AH$3)*(AN$4=$E$4:$AH$4)*(AN$5=$E$5:$AH$5)*(AN$6=$E$6:$AH$6))</f>
        <v>221.6337385928656</v>
      </c>
      <c r="AO92" s="22" cm="1">
        <f t="array" aca="1" ref="AO92" ca="1">SUMPRODUCT(($E92:$AH92)*(AO$3=$E$3:$AH$3)*(AO$4=$E$4:$AH$4)*(AO$5=$E$5:$AH$5)*(AO$6=$E$6:$AH$6))</f>
        <v>245.79705902956562</v>
      </c>
      <c r="AP92" s="22" cm="1">
        <f t="array" aca="1" ref="AP92" ca="1">SUMPRODUCT(($E92:$AH92)*(AP$3=$E$3:$AH$3)*(AP$4=$E$4:$AH$4)*(AP$5=$E$5:$AH$5)*(AP$6=$E$6:$AH$6))</f>
        <v>224.0656801921229</v>
      </c>
      <c r="AQ92" s="22" cm="1">
        <f t="array" aca="1" ref="AQ92" ca="1">SUMPRODUCT(($E92:$AH92)*(AQ$3=$E$3:$AH$3)*(AQ$4=$E$4:$AH$4)*(AQ$5=$E$5:$AH$5)*(AQ$6=$E$6:$AH$6))</f>
        <v>308.84998407480163</v>
      </c>
      <c r="AR92" s="22" cm="1">
        <f t="array" aca="1" ref="AR92" ca="1">SUMPRODUCT(($E92:$AH92)*(AR$3=$E$3:$AH$3)*(AR$4=$E$4:$AH$4)*(AR$5=$E$5:$AH$5)*(AR$6=$E$6:$AH$6))</f>
        <v>230.72759725677059</v>
      </c>
      <c r="AS92" s="22" cm="1">
        <f t="array" aca="1" ref="AS92" ca="1">SUMPRODUCT(($E92:$AH92)*(AS$3=$E$3:$AH$3)*(AS$4=$E$4:$AH$4)*(AS$5=$E$5:$AH$5)*(AS$6=$E$6:$AH$6))</f>
        <v>255.91728353014128</v>
      </c>
      <c r="AT92" s="22"/>
      <c r="AU92" s="22" cm="1">
        <f t="array" aca="1" ref="AU92" ca="1">SUMPRODUCT(($E92:$AH92)*(AU$5=$E$5:$AH$5))</f>
        <v>426.21795063709999</v>
      </c>
      <c r="AV92" s="22" cm="1">
        <f t="array" aca="1" ref="AV92" ca="1">SUMPRODUCT(($E92:$AH92)*(AV$5=$E$5:$AH$5))</f>
        <v>978.34632868076039</v>
      </c>
      <c r="AW92" s="22" cm="1">
        <f t="array" aca="1" ref="AW92" ca="1">SUMPRODUCT(($E92:$AH92)*(AW$5=$E$5:$AH$5))</f>
        <v>1019.5605450538363</v>
      </c>
    </row>
    <row r="93" spans="2:49" x14ac:dyDescent="0.2">
      <c r="C93" s="20" t="s">
        <v>83</v>
      </c>
      <c r="D93" s="20"/>
      <c r="E93" s="66">
        <v>35.586235859058746</v>
      </c>
      <c r="F93" s="66">
        <v>29.73165730264073</v>
      </c>
      <c r="G93" s="66">
        <v>28.603757117710831</v>
      </c>
      <c r="H93" s="66">
        <v>31.050960125152706</v>
      </c>
      <c r="I93" s="66">
        <v>31.030377855780717</v>
      </c>
      <c r="J93" s="41">
        <v>40.296364191434137</v>
      </c>
      <c r="K93" s="66">
        <v>37.99330261526535</v>
      </c>
      <c r="L93" s="66">
        <v>31.123118337190107</v>
      </c>
      <c r="M93" s="66">
        <v>30.677309984953109</v>
      </c>
      <c r="N93" s="66">
        <v>44.125744495824058</v>
      </c>
      <c r="O93" s="66">
        <v>43.078912032352292</v>
      </c>
      <c r="P93" s="42">
        <v>48.326671922446479</v>
      </c>
      <c r="Q93" s="64">
        <f t="shared" si="75"/>
        <v>38.950206101388545</v>
      </c>
      <c r="R93" s="64">
        <f t="shared" si="75"/>
        <v>31.902438348285912</v>
      </c>
      <c r="S93" s="64">
        <f t="shared" si="75"/>
        <v>31.154626053790501</v>
      </c>
      <c r="T93" s="64">
        <f t="shared" si="75"/>
        <v>33.94847925584353</v>
      </c>
      <c r="U93" s="64">
        <f t="shared" si="75"/>
        <v>33.463954675122693</v>
      </c>
      <c r="V93" s="64">
        <f t="shared" si="75"/>
        <v>45.851803385815543</v>
      </c>
      <c r="W93" s="64">
        <f t="shared" si="75"/>
        <v>38.635798052568582</v>
      </c>
      <c r="X93" s="64">
        <f t="shared" si="75"/>
        <v>32.106279212642228</v>
      </c>
      <c r="Y93" s="64">
        <f t="shared" si="75"/>
        <v>31.855465697488089</v>
      </c>
      <c r="Z93" s="64">
        <f t="shared" si="75"/>
        <v>48.718170245699874</v>
      </c>
      <c r="AA93" s="64">
        <f t="shared" si="75"/>
        <v>43.748459930986918</v>
      </c>
      <c r="AB93" s="64">
        <f t="shared" si="75"/>
        <v>50.4790102942858</v>
      </c>
      <c r="AC93" s="64">
        <f t="shared" si="75"/>
        <v>40.565210390423218</v>
      </c>
      <c r="AD93" s="64">
        <f t="shared" si="75"/>
        <v>33.209725021587545</v>
      </c>
      <c r="AE93" s="64">
        <f t="shared" si="75"/>
        <v>32.417590241263767</v>
      </c>
      <c r="AF93" s="64">
        <f t="shared" si="75"/>
        <v>35.330957667140211</v>
      </c>
      <c r="AG93" s="64">
        <f t="shared" si="74"/>
        <v>34.825403544034842</v>
      </c>
      <c r="AH93" s="64">
        <f t="shared" si="74"/>
        <v>47.771228470256318</v>
      </c>
      <c r="AJ93" s="22" cm="1">
        <f t="array" aca="1" ref="AJ93" ca="1">SUMPRODUCT(($E93:$AH93)*(AJ$3&amp;AJ$4&amp;AJ$5&amp;AJ$6=$E$3:$AH$3&amp;$E$4:$AH$4&amp;$E$5:$AH$5&amp;$E$6:$AH$6))</f>
        <v>93.921650279410301</v>
      </c>
      <c r="AK93" s="22" cm="1">
        <f t="array" aca="1" ref="AK93" ca="1">SUMPRODUCT(($E93:$AH93)*(AK$3=$E$3:$AH$3)*(AK$4=$E$4:$AH$4)*(AK$5=$E$5:$AH$5)*(AK$6=$E$6:$AH$6))</f>
        <v>102.37770217236756</v>
      </c>
      <c r="AL93" s="22" cm="1">
        <f t="array" aca="1" ref="AL93" ca="1">SUMPRODUCT(($E93:$AH93)*(AL$3=$E$3:$AH$3)*(AL$4=$E$4:$AH$4)*(AL$5=$E$5:$AH$5)*(AL$6=$E$6:$AH$6))</f>
        <v>99.793730937408569</v>
      </c>
      <c r="AM93" s="23" cm="1">
        <f t="array" aca="1" ref="AM93" ca="1">SUMPRODUCT(($E93:$AH93)*(AM$3=$E$3:$AH$3)*(AM$4=$E$4:$AH$4)*(AM$5=$E$5:$AH$5)*(AM$6=$E$6:$AH$6))</f>
        <v>135.53132845062282</v>
      </c>
      <c r="AN93" s="22" cm="1">
        <f t="array" aca="1" ref="AN93" ca="1">SUMPRODUCT(($E93:$AH93)*(AN$3=$E$3:$AH$3)*(AN$4=$E$4:$AH$4)*(AN$5=$E$5:$AH$5)*(AN$6=$E$6:$AH$6))</f>
        <v>102.00727050346495</v>
      </c>
      <c r="AO93" s="22" cm="1">
        <f t="array" aca="1" ref="AO93" ca="1">SUMPRODUCT(($E93:$AH93)*(AO$3=$E$3:$AH$3)*(AO$4=$E$4:$AH$4)*(AO$5=$E$5:$AH$5)*(AO$6=$E$6:$AH$6))</f>
        <v>113.26423731678176</v>
      </c>
      <c r="AP93" s="22" cm="1">
        <f t="array" aca="1" ref="AP93" ca="1">SUMPRODUCT(($E93:$AH93)*(AP$3=$E$3:$AH$3)*(AP$4=$E$4:$AH$4)*(AP$5=$E$5:$AH$5)*(AP$6=$E$6:$AH$6))</f>
        <v>102.5975429626989</v>
      </c>
      <c r="AQ93" s="22" cm="1">
        <f t="array" aca="1" ref="AQ93" ca="1">SUMPRODUCT(($E93:$AH93)*(AQ$3=$E$3:$AH$3)*(AQ$4=$E$4:$AH$4)*(AQ$5=$E$5:$AH$5)*(AQ$6=$E$6:$AH$6))</f>
        <v>142.94564047097259</v>
      </c>
      <c r="AR93" s="22" cm="1">
        <f t="array" aca="1" ref="AR93" ca="1">SUMPRODUCT(($E93:$AH93)*(AR$3=$E$3:$AH$3)*(AR$4=$E$4:$AH$4)*(AR$5=$E$5:$AH$5)*(AR$6=$E$6:$AH$6))</f>
        <v>106.19252565327453</v>
      </c>
      <c r="AS93" s="22" cm="1">
        <f t="array" aca="1" ref="AS93" ca="1">SUMPRODUCT(($E93:$AH93)*(AS$3=$E$3:$AH$3)*(AS$4=$E$4:$AH$4)*(AS$5=$E$5:$AH$5)*(AS$6=$E$6:$AH$6))</f>
        <v>117.92758968143137</v>
      </c>
      <c r="AT93" s="22"/>
      <c r="AU93" s="22" cm="1">
        <f t="array" aca="1" ref="AU93" ca="1">SUMPRODUCT(($E93:$AH93)*(AU$5=$E$5:$AH$5))</f>
        <v>196.29935245177785</v>
      </c>
      <c r="AV93" s="22" cm="1">
        <f t="array" aca="1" ref="AV93" ca="1">SUMPRODUCT(($E93:$AH93)*(AV$5=$E$5:$AH$5))</f>
        <v>450.59656720827809</v>
      </c>
      <c r="AW93" s="22" cm="1">
        <f t="array" aca="1" ref="AW93" ca="1">SUMPRODUCT(($E93:$AH93)*(AW$5=$E$5:$AH$5))</f>
        <v>469.66329876837733</v>
      </c>
    </row>
    <row r="94" spans="2:49" x14ac:dyDescent="0.2">
      <c r="C94" s="20" t="s">
        <v>84</v>
      </c>
      <c r="D94" s="20"/>
      <c r="E94" s="66">
        <v>15.64230147650934</v>
      </c>
      <c r="F94" s="66">
        <v>16.411218382322392</v>
      </c>
      <c r="G94" s="66">
        <v>15.517408924617088</v>
      </c>
      <c r="H94" s="66">
        <v>12.428669829947715</v>
      </c>
      <c r="I94" s="66">
        <v>13.781070846386701</v>
      </c>
      <c r="J94" s="41">
        <v>13.233617140044052</v>
      </c>
      <c r="K94" s="66">
        <v>16.11023432449414</v>
      </c>
      <c r="L94" s="66">
        <v>16.613764236934223</v>
      </c>
      <c r="M94" s="66">
        <v>16.79414780198163</v>
      </c>
      <c r="N94" s="66">
        <v>17.60335551695109</v>
      </c>
      <c r="O94" s="66">
        <v>20.161737300632897</v>
      </c>
      <c r="P94" s="42">
        <v>16.428330398565375</v>
      </c>
      <c r="Q94" s="64">
        <f t="shared" si="75"/>
        <v>17.120969714896066</v>
      </c>
      <c r="R94" s="64">
        <f t="shared" si="75"/>
        <v>17.609441590590201</v>
      </c>
      <c r="S94" s="64">
        <f t="shared" si="75"/>
        <v>16.901243790483093</v>
      </c>
      <c r="T94" s="64">
        <f t="shared" si="75"/>
        <v>13.588450669450379</v>
      </c>
      <c r="U94" s="64">
        <f t="shared" si="75"/>
        <v>14.861859959343906</v>
      </c>
      <c r="V94" s="64">
        <f t="shared" si="75"/>
        <v>15.058063509299028</v>
      </c>
      <c r="W94" s="64">
        <f t="shared" si="75"/>
        <v>16.382670552325902</v>
      </c>
      <c r="X94" s="64">
        <f t="shared" si="75"/>
        <v>17.138583209595495</v>
      </c>
      <c r="Y94" s="64">
        <f t="shared" si="75"/>
        <v>17.439123557019027</v>
      </c>
      <c r="Z94" s="64">
        <f t="shared" si="75"/>
        <v>19.43544025759304</v>
      </c>
      <c r="AA94" s="64">
        <f t="shared" si="75"/>
        <v>20.475098251631941</v>
      </c>
      <c r="AB94" s="64">
        <f t="shared" si="75"/>
        <v>17.160003499473927</v>
      </c>
      <c r="AC94" s="64">
        <f t="shared" si="75"/>
        <v>17.830861710076142</v>
      </c>
      <c r="AD94" s="64">
        <f t="shared" si="75"/>
        <v>18.331034970517504</v>
      </c>
      <c r="AE94" s="64">
        <f t="shared" si="75"/>
        <v>17.586396152584321</v>
      </c>
      <c r="AF94" s="64">
        <f t="shared" si="75"/>
        <v>14.141810940816629</v>
      </c>
      <c r="AG94" s="64">
        <f t="shared" si="74"/>
        <v>15.466500463672025</v>
      </c>
      <c r="AH94" s="64">
        <f t="shared" si="74"/>
        <v>15.68841657479682</v>
      </c>
      <c r="AJ94" s="22" cm="1">
        <f t="array" aca="1" ref="AJ94" ca="1">SUMPRODUCT(($E94:$AH94)*(AJ$3&amp;AJ$4&amp;AJ$5&amp;AJ$6=$E$3:$AH$3&amp;$E$4:$AH$4&amp;$E$5:$AH$5&amp;$E$6:$AH$6))</f>
        <v>47.570928783448821</v>
      </c>
      <c r="AK94" s="22" cm="1">
        <f t="array" aca="1" ref="AK94" ca="1">SUMPRODUCT(($E94:$AH94)*(AK$3=$E$3:$AH$3)*(AK$4=$E$4:$AH$4)*(AK$5=$E$5:$AH$5)*(AK$6=$E$6:$AH$6))</f>
        <v>39.443357816378466</v>
      </c>
      <c r="AL94" s="22" cm="1">
        <f t="array" aca="1" ref="AL94" ca="1">SUMPRODUCT(($E94:$AH94)*(AL$3=$E$3:$AH$3)*(AL$4=$E$4:$AH$4)*(AL$5=$E$5:$AH$5)*(AL$6=$E$6:$AH$6))</f>
        <v>49.51814636340999</v>
      </c>
      <c r="AM94" s="23" cm="1">
        <f t="array" aca="1" ref="AM94" ca="1">SUMPRODUCT(($E94:$AH94)*(AM$3=$E$3:$AH$3)*(AM$4=$E$4:$AH$4)*(AM$5=$E$5:$AH$5)*(AM$6=$E$6:$AH$6))</f>
        <v>54.19342321614937</v>
      </c>
      <c r="AN94" s="22" cm="1">
        <f t="array" aca="1" ref="AN94" ca="1">SUMPRODUCT(($E94:$AH94)*(AN$3=$E$3:$AH$3)*(AN$4=$E$4:$AH$4)*(AN$5=$E$5:$AH$5)*(AN$6=$E$6:$AH$6))</f>
        <v>51.631655095969364</v>
      </c>
      <c r="AO94" s="22" cm="1">
        <f t="array" aca="1" ref="AO94" ca="1">SUMPRODUCT(($E94:$AH94)*(AO$3=$E$3:$AH$3)*(AO$4=$E$4:$AH$4)*(AO$5=$E$5:$AH$5)*(AO$6=$E$6:$AH$6))</f>
        <v>43.508374138093316</v>
      </c>
      <c r="AP94" s="22" cm="1">
        <f t="array" aca="1" ref="AP94" ca="1">SUMPRODUCT(($E94:$AH94)*(AP$3=$E$3:$AH$3)*(AP$4=$E$4:$AH$4)*(AP$5=$E$5:$AH$5)*(AP$6=$E$6:$AH$6))</f>
        <v>50.960377318940431</v>
      </c>
      <c r="AQ94" s="22" cm="1">
        <f t="array" aca="1" ref="AQ94" ca="1">SUMPRODUCT(($E94:$AH94)*(AQ$3=$E$3:$AH$3)*(AQ$4=$E$4:$AH$4)*(AQ$5=$E$5:$AH$5)*(AQ$6=$E$6:$AH$6))</f>
        <v>57.070542008698908</v>
      </c>
      <c r="AR94" s="22" cm="1">
        <f t="array" aca="1" ref="AR94" ca="1">SUMPRODUCT(($E94:$AH94)*(AR$3=$E$3:$AH$3)*(AR$4=$E$4:$AH$4)*(AR$5=$E$5:$AH$5)*(AR$6=$E$6:$AH$6))</f>
        <v>53.748292833177963</v>
      </c>
      <c r="AS94" s="22" cm="1">
        <f t="array" aca="1" ref="AS94" ca="1">SUMPRODUCT(($E94:$AH94)*(AS$3=$E$3:$AH$3)*(AS$4=$E$4:$AH$4)*(AS$5=$E$5:$AH$5)*(AS$6=$E$6:$AH$6))</f>
        <v>45.296727979285471</v>
      </c>
      <c r="AT94" s="22"/>
      <c r="AU94" s="22" cm="1">
        <f t="array" aca="1" ref="AU94" ca="1">SUMPRODUCT(($E94:$AH94)*(AU$5=$E$5:$AH$5))</f>
        <v>87.014286599827287</v>
      </c>
      <c r="AV94" s="22" cm="1">
        <f t="array" aca="1" ref="AV94" ca="1">SUMPRODUCT(($E94:$AH94)*(AV$5=$E$5:$AH$5))</f>
        <v>198.85159881362199</v>
      </c>
      <c r="AW94" s="22" cm="1">
        <f t="array" aca="1" ref="AW94" ca="1">SUMPRODUCT(($E94:$AH94)*(AW$5=$E$5:$AH$5))</f>
        <v>207.07594014010277</v>
      </c>
    </row>
    <row r="95" spans="2:49" x14ac:dyDescent="0.2">
      <c r="C95" s="20" t="s">
        <v>85</v>
      </c>
      <c r="D95" s="20"/>
      <c r="E95" s="66">
        <v>0.96460859105140939</v>
      </c>
      <c r="F95" s="66">
        <v>0.73850482720450772</v>
      </c>
      <c r="G95" s="66">
        <v>0.67242105340007385</v>
      </c>
      <c r="H95" s="66">
        <v>0.70429129036370386</v>
      </c>
      <c r="I95" s="66">
        <v>0.80389579937255751</v>
      </c>
      <c r="J95" s="41">
        <v>1.1028014283370042</v>
      </c>
      <c r="K95" s="66">
        <v>0.99346445001047212</v>
      </c>
      <c r="L95" s="66">
        <v>0.74761939066203997</v>
      </c>
      <c r="M95" s="66">
        <v>0.72774640475253727</v>
      </c>
      <c r="N95" s="66">
        <v>0.99752347929389495</v>
      </c>
      <c r="O95" s="66">
        <v>1.1761013425369191</v>
      </c>
      <c r="P95" s="42">
        <v>1.3690275332137813</v>
      </c>
      <c r="Q95" s="64">
        <f t="shared" si="75"/>
        <v>1.0557931324185907</v>
      </c>
      <c r="R95" s="64">
        <f t="shared" si="75"/>
        <v>0.79242487157655916</v>
      </c>
      <c r="S95" s="64">
        <f t="shared" si="75"/>
        <v>0.73238723092093405</v>
      </c>
      <c r="T95" s="64">
        <f t="shared" si="75"/>
        <v>0.77001220460218822</v>
      </c>
      <c r="U95" s="64">
        <f t="shared" si="75"/>
        <v>0.86694183096172783</v>
      </c>
      <c r="V95" s="64">
        <f t="shared" si="75"/>
        <v>1.2548386257749191</v>
      </c>
      <c r="W95" s="64">
        <f t="shared" si="75"/>
        <v>1.0102646840600973</v>
      </c>
      <c r="X95" s="64">
        <f t="shared" si="75"/>
        <v>0.77123624443179717</v>
      </c>
      <c r="Y95" s="64">
        <f t="shared" si="75"/>
        <v>0.75569535413749123</v>
      </c>
      <c r="Z95" s="64">
        <f t="shared" si="75"/>
        <v>1.1013416145969386</v>
      </c>
      <c r="AA95" s="64">
        <f t="shared" si="75"/>
        <v>1.1943807313451968</v>
      </c>
      <c r="AB95" s="64">
        <f t="shared" si="75"/>
        <v>1.4300002916228274</v>
      </c>
      <c r="AC95" s="64">
        <f t="shared" si="75"/>
        <v>1.0995698054546954</v>
      </c>
      <c r="AD95" s="64">
        <f t="shared" si="75"/>
        <v>0.82489657367328773</v>
      </c>
      <c r="AE95" s="64">
        <f t="shared" si="75"/>
        <v>0.76207716661198732</v>
      </c>
      <c r="AF95" s="64">
        <f t="shared" si="75"/>
        <v>0.80136928664627571</v>
      </c>
      <c r="AG95" s="64">
        <f t="shared" si="74"/>
        <v>0.90221252704753485</v>
      </c>
      <c r="AH95" s="64">
        <f t="shared" si="74"/>
        <v>1.3073680478997349</v>
      </c>
      <c r="AJ95" s="22" cm="1">
        <f t="array" aca="1" ref="AJ95" ca="1">SUMPRODUCT(($E95:$AH95)*(AJ$3&amp;AJ$4&amp;AJ$5&amp;AJ$6=$E$3:$AH$3&amp;$E$4:$AH$4&amp;$E$5:$AH$5&amp;$E$6:$AH$6))</f>
        <v>2.3755344716559907</v>
      </c>
      <c r="AK95" s="22" cm="1">
        <f t="array" aca="1" ref="AK95" ca="1">SUMPRODUCT(($E95:$AH95)*(AK$3=$E$3:$AH$3)*(AK$4=$E$4:$AH$4)*(AK$5=$E$5:$AH$5)*(AK$6=$E$6:$AH$6))</f>
        <v>2.6109885180732659</v>
      </c>
      <c r="AL95" s="22" cm="1">
        <f t="array" aca="1" ref="AL95" ca="1">SUMPRODUCT(($E95:$AH95)*(AL$3=$E$3:$AH$3)*(AL$4=$E$4:$AH$4)*(AL$5=$E$5:$AH$5)*(AL$6=$E$6:$AH$6))</f>
        <v>2.4688302454250497</v>
      </c>
      <c r="AM95" s="23" cm="1">
        <f t="array" aca="1" ref="AM95" ca="1">SUMPRODUCT(($E95:$AH95)*(AM$3=$E$3:$AH$3)*(AM$4=$E$4:$AH$4)*(AM$5=$E$5:$AH$5)*(AM$6=$E$6:$AH$6))</f>
        <v>3.5426523550445959</v>
      </c>
      <c r="AN95" s="22" cm="1">
        <f t="array" aca="1" ref="AN95" ca="1">SUMPRODUCT(($E95:$AH95)*(AN$3=$E$3:$AH$3)*(AN$4=$E$4:$AH$4)*(AN$5=$E$5:$AH$5)*(AN$6=$E$6:$AH$6))</f>
        <v>2.5806052349160842</v>
      </c>
      <c r="AO95" s="22" cm="1">
        <f t="array" aca="1" ref="AO95" ca="1">SUMPRODUCT(($E95:$AH95)*(AO$3=$E$3:$AH$3)*(AO$4=$E$4:$AH$4)*(AO$5=$E$5:$AH$5)*(AO$6=$E$6:$AH$6))</f>
        <v>2.8917926613388349</v>
      </c>
      <c r="AP95" s="22" cm="1">
        <f t="array" aca="1" ref="AP95" ca="1">SUMPRODUCT(($E95:$AH95)*(AP$3=$E$3:$AH$3)*(AP$4=$E$4:$AH$4)*(AP$5=$E$5:$AH$5)*(AP$6=$E$6:$AH$6))</f>
        <v>2.5371962826293855</v>
      </c>
      <c r="AQ95" s="22" cm="1">
        <f t="array" aca="1" ref="AQ95" ca="1">SUMPRODUCT(($E95:$AH95)*(AQ$3=$E$3:$AH$3)*(AQ$4=$E$4:$AH$4)*(AQ$5=$E$5:$AH$5)*(AQ$6=$E$6:$AH$6))</f>
        <v>3.7257226375649628</v>
      </c>
      <c r="AR95" s="22" cm="1">
        <f t="array" aca="1" ref="AR95" ca="1">SUMPRODUCT(($E95:$AH95)*(AR$3=$E$3:$AH$3)*(AR$4=$E$4:$AH$4)*(AR$5=$E$5:$AH$5)*(AR$6=$E$6:$AH$6))</f>
        <v>2.6865435457399705</v>
      </c>
      <c r="AS95" s="22" cm="1">
        <f t="array" aca="1" ref="AS95" ca="1">SUMPRODUCT(($E95:$AH95)*(AS$3=$E$3:$AH$3)*(AS$4=$E$4:$AH$4)*(AS$5=$E$5:$AH$5)*(AS$6=$E$6:$AH$6))</f>
        <v>3.0109498615935455</v>
      </c>
      <c r="AT95" s="22"/>
      <c r="AU95" s="22" cm="1">
        <f t="array" aca="1" ref="AU95" ca="1">SUMPRODUCT(($E95:$AH95)*(AU$5=$E$5:$AH$5))</f>
        <v>4.9865229897292567</v>
      </c>
      <c r="AV95" s="22" cm="1">
        <f t="array" aca="1" ref="AV95" ca="1">SUMPRODUCT(($E95:$AH95)*(AV$5=$E$5:$AH$5))</f>
        <v>11.483880496724566</v>
      </c>
      <c r="AW95" s="22" cm="1">
        <f t="array" aca="1" ref="AW95" ca="1">SUMPRODUCT(($E95:$AH95)*(AW$5=$E$5:$AH$5))</f>
        <v>11.960412327527864</v>
      </c>
    </row>
    <row r="96" spans="2:49" x14ac:dyDescent="0.2">
      <c r="C96" s="25" t="s">
        <v>86</v>
      </c>
      <c r="D96" s="25"/>
      <c r="E96" s="45">
        <v>1.4338776353466893</v>
      </c>
      <c r="F96" s="45">
        <v>1.0940812254881593</v>
      </c>
      <c r="G96" s="45">
        <v>1.1638056693462815</v>
      </c>
      <c r="H96" s="45">
        <v>1.222152533278192</v>
      </c>
      <c r="I96" s="45">
        <v>1.1713910219428696</v>
      </c>
      <c r="J96" s="45">
        <v>1.4115858282713656</v>
      </c>
      <c r="K96" s="45">
        <v>1.6378738229902376</v>
      </c>
      <c r="L96" s="45">
        <v>1.2737219248316236</v>
      </c>
      <c r="M96" s="45">
        <v>1.3155415778218944</v>
      </c>
      <c r="N96" s="45">
        <v>1.584301996525598</v>
      </c>
      <c r="O96" s="45">
        <v>1.4449245065453575</v>
      </c>
      <c r="P96" s="46">
        <v>1.4785497358708837</v>
      </c>
      <c r="Q96" s="89">
        <f t="shared" si="75"/>
        <v>1.5694222238654725</v>
      </c>
      <c r="R96" s="28">
        <f t="shared" si="75"/>
        <v>1.1739627727060133</v>
      </c>
      <c r="S96" s="28">
        <f t="shared" si="75"/>
        <v>1.2675932842862319</v>
      </c>
      <c r="T96" s="28">
        <f t="shared" si="75"/>
        <v>1.3361976491626208</v>
      </c>
      <c r="U96" s="28">
        <f t="shared" si="75"/>
        <v>1.2632580965442322</v>
      </c>
      <c r="V96" s="28">
        <f t="shared" si="75"/>
        <v>1.6061934409918963</v>
      </c>
      <c r="W96" s="28">
        <f t="shared" si="75"/>
        <v>1.6655715061531333</v>
      </c>
      <c r="X96" s="28">
        <f t="shared" si="75"/>
        <v>1.3139580460689877</v>
      </c>
      <c r="Y96" s="28">
        <f t="shared" si="75"/>
        <v>1.3660646786331572</v>
      </c>
      <c r="Z96" s="28">
        <f t="shared" si="75"/>
        <v>1.7491896231833732</v>
      </c>
      <c r="AA96" s="28">
        <f t="shared" si="75"/>
        <v>1.4673820413669558</v>
      </c>
      <c r="AB96" s="28">
        <f t="shared" si="75"/>
        <v>1.5444003149526535</v>
      </c>
      <c r="AC96" s="28">
        <f t="shared" si="75"/>
        <v>1.6344956567569795</v>
      </c>
      <c r="AD96" s="28">
        <f t="shared" si="75"/>
        <v>1.2220689980345001</v>
      </c>
      <c r="AE96" s="28">
        <f t="shared" si="75"/>
        <v>1.318979711443824</v>
      </c>
      <c r="AF96" s="28">
        <f t="shared" si="75"/>
        <v>1.3906114091803019</v>
      </c>
      <c r="AG96" s="28">
        <f t="shared" si="74"/>
        <v>1.3146525394121222</v>
      </c>
      <c r="AH96" s="28">
        <f t="shared" si="74"/>
        <v>1.673431101311661</v>
      </c>
      <c r="AJ96" s="28" cm="1">
        <f t="array" aca="1" ref="AJ96" ca="1">SUMPRODUCT(($E96:$AH96)*(AJ$3&amp;AJ$4&amp;AJ$5&amp;AJ$6=$E$3:$AH$3&amp;$E$4:$AH$4&amp;$E$5:$AH$5&amp;$E$6:$AH$6))</f>
        <v>3.6917645301811302</v>
      </c>
      <c r="AK96" s="28" cm="1">
        <f t="array" aca="1" ref="AK96" ca="1">SUMPRODUCT(($E96:$AH96)*(AK$3=$E$3:$AH$3)*(AK$4=$E$4:$AH$4)*(AK$5=$E$5:$AH$5)*(AK$6=$E$6:$AH$6))</f>
        <v>3.8051293834924271</v>
      </c>
      <c r="AL96" s="28" cm="1">
        <f t="array" aca="1" ref="AL96" ca="1">SUMPRODUCT(($E96:$AH96)*(AL$3=$E$3:$AH$3)*(AL$4=$E$4:$AH$4)*(AL$5=$E$5:$AH$5)*(AL$6=$E$6:$AH$6))</f>
        <v>4.2271373256437563</v>
      </c>
      <c r="AM96" s="29" cm="1">
        <f t="array" aca="1" ref="AM96" ca="1">SUMPRODUCT(($E96:$AH96)*(AM$3=$E$3:$AH$3)*(AM$4=$E$4:$AH$4)*(AM$5=$E$5:$AH$5)*(AM$6=$E$6:$AH$6))</f>
        <v>4.5077762389418394</v>
      </c>
      <c r="AN96" s="28" cm="1">
        <f t="array" aca="1" ref="AN96" ca="1">SUMPRODUCT(($E96:$AH96)*(AN$3=$E$3:$AH$3)*(AN$4=$E$4:$AH$4)*(AN$5=$E$5:$AH$5)*(AN$6=$E$6:$AH$6))</f>
        <v>4.0109782808577172</v>
      </c>
      <c r="AO96" s="28" cm="1">
        <f t="array" aca="1" ref="AO96" ca="1">SUMPRODUCT(($E96:$AH96)*(AO$3=$E$3:$AH$3)*(AO$4=$E$4:$AH$4)*(AO$5=$E$5:$AH$5)*(AO$6=$E$6:$AH$6))</f>
        <v>4.2056491866987491</v>
      </c>
      <c r="AP96" s="28" cm="1">
        <f t="array" aca="1" ref="AP96" ca="1">SUMPRODUCT(($E96:$AH96)*(AP$3=$E$3:$AH$3)*(AP$4=$E$4:$AH$4)*(AP$5=$E$5:$AH$5)*(AP$6=$E$6:$AH$6))</f>
        <v>4.3455942308552782</v>
      </c>
      <c r="AQ96" s="28" cm="1">
        <f t="array" aca="1" ref="AQ96" ca="1">SUMPRODUCT(($E96:$AH96)*(AQ$3=$E$3:$AH$3)*(AQ$4=$E$4:$AH$4)*(AQ$5=$E$5:$AH$5)*(AQ$6=$E$6:$AH$6))</f>
        <v>4.7609719795029823</v>
      </c>
      <c r="AR96" s="28" cm="1">
        <f t="array" aca="1" ref="AR96" ca="1">SUMPRODUCT(($E96:$AH96)*(AR$3=$E$3:$AH$3)*(AR$4=$E$4:$AH$4)*(AR$5=$E$5:$AH$5)*(AR$6=$E$6:$AH$6))</f>
        <v>4.1755443662353038</v>
      </c>
      <c r="AS96" s="28" cm="1">
        <f t="array" aca="1" ref="AS96" ca="1">SUMPRODUCT(($E96:$AH96)*(AS$3=$E$3:$AH$3)*(AS$4=$E$4:$AH$4)*(AS$5=$E$5:$AH$5)*(AS$6=$E$6:$AH$6))</f>
        <v>4.3786950499040849</v>
      </c>
      <c r="AT96" s="22"/>
      <c r="AU96" s="28" cm="1">
        <f t="array" aca="1" ref="AU96" ca="1">SUMPRODUCT(($E96:$AH96)*(AU$5=$E$5:$AH$5))</f>
        <v>7.4968939136735573</v>
      </c>
      <c r="AV96" s="28" cm="1">
        <f t="array" aca="1" ref="AV96" ca="1">SUMPRODUCT(($E96:$AH96)*(AV$5=$E$5:$AH$5))</f>
        <v>16.951541032142064</v>
      </c>
      <c r="AW96" s="28" cm="1">
        <f t="array" aca="1" ref="AW96" ca="1">SUMPRODUCT(($E96:$AH96)*(AW$5=$E$5:$AH$5))</f>
        <v>17.660805626497648</v>
      </c>
    </row>
    <row r="97" spans="1:49" x14ac:dyDescent="0.2">
      <c r="B97" t="s">
        <v>12</v>
      </c>
      <c r="C97" s="49" t="s">
        <v>73</v>
      </c>
      <c r="D97" s="49"/>
      <c r="E97" s="52">
        <f>E81</f>
        <v>180.7728640635263</v>
      </c>
      <c r="F97" s="52">
        <f t="shared" ref="F97:AH97" si="76">F81</f>
        <v>160.61112390166181</v>
      </c>
      <c r="G97" s="52">
        <f t="shared" si="76"/>
        <v>145.03604874875441</v>
      </c>
      <c r="H97" s="52">
        <f t="shared" si="76"/>
        <v>145.51900925897115</v>
      </c>
      <c r="I97" s="52">
        <f t="shared" si="76"/>
        <v>145.36732897796907</v>
      </c>
      <c r="J97" s="52">
        <f t="shared" si="76"/>
        <v>176.75701293385504</v>
      </c>
      <c r="K97" s="52">
        <f t="shared" si="76"/>
        <v>190.63777283984737</v>
      </c>
      <c r="L97" s="52">
        <f t="shared" si="76"/>
        <v>166.77450333175804</v>
      </c>
      <c r="M97" s="52">
        <f t="shared" si="76"/>
        <v>158.36881377268679</v>
      </c>
      <c r="N97" s="52">
        <f t="shared" si="76"/>
        <v>203.90553473801677</v>
      </c>
      <c r="O97" s="52">
        <f t="shared" si="76"/>
        <v>205.51530888445131</v>
      </c>
      <c r="P97" s="90">
        <f t="shared" si="76"/>
        <v>213.40401187736421</v>
      </c>
      <c r="Q97" s="52">
        <f t="shared" si="76"/>
        <v>197.86134000514889</v>
      </c>
      <c r="R97" s="52">
        <f t="shared" si="76"/>
        <v>172.33773503324278</v>
      </c>
      <c r="S97" s="52">
        <f t="shared" si="76"/>
        <v>157.97029196171533</v>
      </c>
      <c r="T97" s="52">
        <f t="shared" si="76"/>
        <v>159.09810992148152</v>
      </c>
      <c r="U97" s="52">
        <f t="shared" si="76"/>
        <v>156.76785280447933</v>
      </c>
      <c r="V97" s="52">
        <f t="shared" si="76"/>
        <v>201.12553493920402</v>
      </c>
      <c r="W97" s="52">
        <f t="shared" si="76"/>
        <v>193.86160153585652</v>
      </c>
      <c r="X97" s="52">
        <f t="shared" si="76"/>
        <v>172.04281111898945</v>
      </c>
      <c r="Y97" s="52">
        <f t="shared" si="76"/>
        <v>164.45093514268945</v>
      </c>
      <c r="Z97" s="52">
        <f t="shared" si="76"/>
        <v>225.12718298378599</v>
      </c>
      <c r="AA97" s="52">
        <f t="shared" si="76"/>
        <v>208.70950151163493</v>
      </c>
      <c r="AB97" s="52">
        <f t="shared" si="76"/>
        <v>222.90844545816631</v>
      </c>
      <c r="AC97" s="52">
        <f t="shared" si="76"/>
        <v>206.06532516277997</v>
      </c>
      <c r="AD97" s="52">
        <f t="shared" si="76"/>
        <v>179.39972891146465</v>
      </c>
      <c r="AE97" s="52">
        <f t="shared" si="76"/>
        <v>164.37418270615481</v>
      </c>
      <c r="AF97" s="52">
        <f t="shared" si="76"/>
        <v>165.57703643206136</v>
      </c>
      <c r="AG97" s="52">
        <f t="shared" si="76"/>
        <v>163.14580239096711</v>
      </c>
      <c r="AH97" s="52">
        <f t="shared" si="76"/>
        <v>209.54495071736952</v>
      </c>
      <c r="AJ97" s="52">
        <f t="shared" ref="AJ97:AW97" ca="1" si="77">SUM(AJ91:AJ96)</f>
        <v>486.42003671394241</v>
      </c>
      <c r="AK97" s="52">
        <f t="shared" ca="1" si="77"/>
        <v>467.64335117079531</v>
      </c>
      <c r="AL97" s="52">
        <f t="shared" ca="1" si="77"/>
        <v>515.78108994429215</v>
      </c>
      <c r="AM97" s="52">
        <f t="shared" ca="1" si="77"/>
        <v>622.82485549983244</v>
      </c>
      <c r="AN97" s="52">
        <f t="shared" ca="1" si="77"/>
        <v>528.16936700010694</v>
      </c>
      <c r="AO97" s="52">
        <f t="shared" ca="1" si="77"/>
        <v>516.99149766516496</v>
      </c>
      <c r="AP97" s="52">
        <f t="shared" ca="1" si="77"/>
        <v>530.35534779753527</v>
      </c>
      <c r="AQ97" s="52">
        <f t="shared" ca="1" si="77"/>
        <v>656.74512995358737</v>
      </c>
      <c r="AR97" s="52">
        <f t="shared" ca="1" si="77"/>
        <v>549.83923678039923</v>
      </c>
      <c r="AS97" s="52">
        <f t="shared" ca="1" si="77"/>
        <v>538.26778954039798</v>
      </c>
      <c r="AT97" s="22"/>
      <c r="AU97" s="52">
        <f t="shared" ca="1" si="77"/>
        <v>954.06338788473772</v>
      </c>
      <c r="AV97" s="52">
        <f t="shared" ca="1" si="77"/>
        <v>2183.7668101093959</v>
      </c>
      <c r="AW97" s="52">
        <f t="shared" ca="1" si="77"/>
        <v>2275.2075040719201</v>
      </c>
    </row>
    <row r="98" spans="1:49" x14ac:dyDescent="0.2">
      <c r="C98" s="20"/>
      <c r="D98" s="20"/>
      <c r="P98" s="2"/>
      <c r="AT98" s="22"/>
    </row>
    <row r="99" spans="1:49" ht="19" x14ac:dyDescent="0.25">
      <c r="A99" t="s">
        <v>12</v>
      </c>
      <c r="C99" s="38" t="s">
        <v>87</v>
      </c>
      <c r="D99" s="3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</row>
    <row r="100" spans="1:49" x14ac:dyDescent="0.2">
      <c r="C100" s="16"/>
      <c r="D100" s="16"/>
      <c r="AT100" s="22"/>
    </row>
    <row r="101" spans="1:49" x14ac:dyDescent="0.2">
      <c r="C101" s="17" t="s">
        <v>88</v>
      </c>
      <c r="D101" s="17"/>
      <c r="E101" s="18" t="str">
        <f t="shared" ref="E101:AH101" si="78">E$9</f>
        <v>Jul-20A</v>
      </c>
      <c r="F101" s="18" t="str">
        <f t="shared" si="78"/>
        <v>Aug-20A</v>
      </c>
      <c r="G101" s="18" t="str">
        <f t="shared" si="78"/>
        <v>Sep-20A</v>
      </c>
      <c r="H101" s="18" t="str">
        <f t="shared" si="78"/>
        <v>Oct-20A</v>
      </c>
      <c r="I101" s="18" t="str">
        <f t="shared" si="78"/>
        <v>Nov-20A</v>
      </c>
      <c r="J101" s="18" t="str">
        <f t="shared" si="78"/>
        <v>Dec-20A</v>
      </c>
      <c r="K101" s="18" t="str">
        <f t="shared" si="78"/>
        <v>Jan-21A</v>
      </c>
      <c r="L101" s="18" t="str">
        <f t="shared" si="78"/>
        <v>Feb-21A</v>
      </c>
      <c r="M101" s="18" t="str">
        <f t="shared" si="78"/>
        <v>Mar-21A</v>
      </c>
      <c r="N101" s="18" t="str">
        <f t="shared" si="78"/>
        <v>Apr-21A</v>
      </c>
      <c r="O101" s="18" t="str">
        <f t="shared" si="78"/>
        <v>May-21A</v>
      </c>
      <c r="P101" s="19" t="str">
        <f t="shared" si="78"/>
        <v>Jun-21A</v>
      </c>
      <c r="Q101" s="18" t="str">
        <f t="shared" si="78"/>
        <v>Jul-21F</v>
      </c>
      <c r="R101" s="18" t="str">
        <f t="shared" si="78"/>
        <v>Aug-21F</v>
      </c>
      <c r="S101" s="18" t="str">
        <f t="shared" si="78"/>
        <v>Sep-21F</v>
      </c>
      <c r="T101" s="18" t="str">
        <f t="shared" si="78"/>
        <v>Oct-21F</v>
      </c>
      <c r="U101" s="18" t="str">
        <f t="shared" si="78"/>
        <v>Nov-21F</v>
      </c>
      <c r="V101" s="18" t="str">
        <f t="shared" si="78"/>
        <v>Dec-21F</v>
      </c>
      <c r="W101" s="18" t="str">
        <f t="shared" si="78"/>
        <v>Jan-22F</v>
      </c>
      <c r="X101" s="18" t="str">
        <f t="shared" si="78"/>
        <v>Feb-22F</v>
      </c>
      <c r="Y101" s="18" t="str">
        <f t="shared" si="78"/>
        <v>Mar-22F</v>
      </c>
      <c r="Z101" s="18" t="str">
        <f t="shared" si="78"/>
        <v>Apr-22F</v>
      </c>
      <c r="AA101" s="18" t="str">
        <f t="shared" si="78"/>
        <v>May-22F</v>
      </c>
      <c r="AB101" s="18" t="str">
        <f t="shared" si="78"/>
        <v>Jun-22F</v>
      </c>
      <c r="AC101" s="18" t="str">
        <f t="shared" si="78"/>
        <v>Jul-22F</v>
      </c>
      <c r="AD101" s="18" t="str">
        <f t="shared" si="78"/>
        <v>Aug-22F</v>
      </c>
      <c r="AE101" s="18" t="str">
        <f t="shared" si="78"/>
        <v>Sep-22F</v>
      </c>
      <c r="AF101" s="18" t="str">
        <f t="shared" si="78"/>
        <v>Oct-22F</v>
      </c>
      <c r="AG101" s="18" t="str">
        <f t="shared" si="78"/>
        <v>Nov-22F</v>
      </c>
      <c r="AH101" s="18" t="str">
        <f t="shared" si="78"/>
        <v>Dec-22F</v>
      </c>
      <c r="AJ101" s="18" t="str">
        <f ca="1">AJ$10</f>
        <v>Q3'20A</v>
      </c>
      <c r="AK101" s="18" t="str">
        <f t="shared" ref="AK101:AW101" ca="1" si="79">AK$10</f>
        <v>Q4'20A</v>
      </c>
      <c r="AL101" s="18" t="str">
        <f t="shared" ca="1" si="79"/>
        <v>Q1'21A</v>
      </c>
      <c r="AM101" s="19" t="str">
        <f t="shared" ca="1" si="79"/>
        <v>Q2'21A</v>
      </c>
      <c r="AN101" s="18" t="str">
        <f t="shared" ca="1" si="79"/>
        <v>Q3'21F</v>
      </c>
      <c r="AO101" s="18" t="str">
        <f t="shared" ca="1" si="79"/>
        <v>Q4'21F</v>
      </c>
      <c r="AP101" s="18" t="str">
        <f t="shared" ca="1" si="79"/>
        <v>Q1'22F</v>
      </c>
      <c r="AQ101" s="18" t="str">
        <f t="shared" ca="1" si="79"/>
        <v>Q2'22F</v>
      </c>
      <c r="AR101" s="18" t="str">
        <f t="shared" ca="1" si="79"/>
        <v>Q3'22F</v>
      </c>
      <c r="AS101" s="18" t="str">
        <f t="shared" ca="1" si="79"/>
        <v>Q4'22F</v>
      </c>
      <c r="AT101" s="22"/>
      <c r="AU101" s="18" t="str">
        <f t="shared" ca="1" si="79"/>
        <v>FY20</v>
      </c>
      <c r="AV101" s="18" t="str">
        <f t="shared" ca="1" si="79"/>
        <v>FY21</v>
      </c>
      <c r="AW101" s="18" t="str">
        <f t="shared" ca="1" si="79"/>
        <v>FY22</v>
      </c>
    </row>
    <row r="102" spans="1:49" x14ac:dyDescent="0.2">
      <c r="C102" s="49" t="s">
        <v>89</v>
      </c>
      <c r="D102" s="49"/>
      <c r="P102" s="2"/>
      <c r="AM102" s="91"/>
      <c r="AT102" s="22"/>
    </row>
    <row r="103" spans="1:49" x14ac:dyDescent="0.2">
      <c r="C103" s="20" t="s">
        <v>90</v>
      </c>
      <c r="D103" s="20"/>
      <c r="E103" s="73">
        <v>22400</v>
      </c>
      <c r="F103" s="73">
        <v>22400</v>
      </c>
      <c r="G103" s="73">
        <v>22400</v>
      </c>
      <c r="H103" s="73">
        <v>22400</v>
      </c>
      <c r="I103" s="73">
        <v>22400</v>
      </c>
      <c r="J103" s="74">
        <v>22400</v>
      </c>
      <c r="K103" s="73">
        <v>22400</v>
      </c>
      <c r="L103" s="73">
        <v>22400</v>
      </c>
      <c r="M103" s="73">
        <v>22400</v>
      </c>
      <c r="N103" s="73">
        <v>22400</v>
      </c>
      <c r="O103" s="73">
        <v>22400</v>
      </c>
      <c r="P103" s="75">
        <v>22400</v>
      </c>
      <c r="Q103" s="73">
        <v>22959.999999999996</v>
      </c>
      <c r="R103" s="73">
        <v>23520</v>
      </c>
      <c r="S103" s="73">
        <v>24808</v>
      </c>
      <c r="T103" s="73">
        <v>24640.000000000004</v>
      </c>
      <c r="U103" s="73">
        <v>24640.000000000004</v>
      </c>
      <c r="V103" s="73">
        <v>24640.000000000004</v>
      </c>
      <c r="W103" s="73">
        <v>24640.000000000004</v>
      </c>
      <c r="X103" s="73">
        <v>24640.000000000004</v>
      </c>
      <c r="Y103" s="73">
        <v>24640.000000000004</v>
      </c>
      <c r="Z103" s="73">
        <v>24640.000000000004</v>
      </c>
      <c r="AA103" s="73">
        <v>24640.000000000004</v>
      </c>
      <c r="AB103" s="73">
        <v>24640.000000000004</v>
      </c>
      <c r="AC103" s="73">
        <v>24640.000000000004</v>
      </c>
      <c r="AD103" s="73">
        <v>24640.000000000004</v>
      </c>
      <c r="AE103" s="73">
        <v>24640.000000000004</v>
      </c>
      <c r="AF103" s="73">
        <v>24640.000000000004</v>
      </c>
      <c r="AG103" s="73">
        <v>24640.000000000004</v>
      </c>
      <c r="AH103" s="73">
        <v>24640.000000000004</v>
      </c>
      <c r="AJ103" s="92" cm="1">
        <f t="array" aca="1" ref="AJ103" ca="1">INDEX($E103:$AH103,1,MATCH(AJ$3&amp;AJ$4&amp;AJ$5&amp;AJ$6,$E$3:$AH$3&amp;$E$4:$AH$4&amp;$E$5:$AH$5&amp;$E$6:$AH$6,1))</f>
        <v>22400</v>
      </c>
      <c r="AK103" s="92" cm="1">
        <f t="array" aca="1" ref="AK103" ca="1">INDEX($E103:$AH103,1,MATCH(AK$3&amp;AK$4&amp;AK$5&amp;AK$6,$E$3:$AH$3&amp;$E$4:$AH$4&amp;$E$5:$AH$5&amp;$E$6:$AH$6,1))</f>
        <v>22400</v>
      </c>
      <c r="AL103" s="92" cm="1">
        <f t="array" aca="1" ref="AL103" ca="1">INDEX($E103:$AH103,1,MATCH(AL$3&amp;AL$4&amp;AL$5&amp;AL$6,$E$3:$AH$3&amp;$E$4:$AH$4&amp;$E$5:$AH$5&amp;$E$6:$AH$6,1))</f>
        <v>22400</v>
      </c>
      <c r="AM103" s="93" cm="1">
        <f t="array" aca="1" ref="AM103" ca="1">INDEX($E103:$AH103,1,MATCH(AM$3&amp;AM$4&amp;AM$5&amp;AM$6,$E$3:$AH$3&amp;$E$4:$AH$4&amp;$E$5:$AH$5&amp;$E$6:$AH$6,1))</f>
        <v>22400</v>
      </c>
      <c r="AN103" s="92" cm="1">
        <f t="array" aca="1" ref="AN103" ca="1">INDEX($E103:$AH103,1,MATCH(AN$3&amp;AN$4&amp;AN$5&amp;AN$6,$E$3:$AH$3&amp;$E$4:$AH$4&amp;$E$5:$AH$5&amp;$E$6:$AH$6,1))</f>
        <v>24808</v>
      </c>
      <c r="AO103" s="92" cm="1">
        <f t="array" aca="1" ref="AO103" ca="1">INDEX($E103:$AH103,1,MATCH(AO$3&amp;AO$4&amp;AO$5&amp;AO$6,$E$3:$AH$3&amp;$E$4:$AH$4&amp;$E$5:$AH$5&amp;$E$6:$AH$6,1))</f>
        <v>24640.000000000004</v>
      </c>
      <c r="AP103" s="92" cm="1">
        <f t="array" aca="1" ref="AP103" ca="1">INDEX($E103:$AH103,1,MATCH(AP$3&amp;AP$4&amp;AP$5&amp;AP$6,$E$3:$AH$3&amp;$E$4:$AH$4&amp;$E$5:$AH$5&amp;$E$6:$AH$6,1))</f>
        <v>24640.000000000004</v>
      </c>
      <c r="AQ103" s="92" cm="1">
        <f t="array" aca="1" ref="AQ103" ca="1">INDEX($E103:$AH103,1,MATCH(AQ$3&amp;AQ$4&amp;AQ$5&amp;AQ$6,$E$3:$AH$3&amp;$E$4:$AH$4&amp;$E$5:$AH$5&amp;$E$6:$AH$6,1))</f>
        <v>24640.000000000004</v>
      </c>
      <c r="AR103" s="92" cm="1">
        <f t="array" aca="1" ref="AR103" ca="1">INDEX($E103:$AH103,1,MATCH(AR$3&amp;AR$4&amp;AR$5&amp;AR$6,$E$3:$AH$3&amp;$E$4:$AH$4&amp;$E$5:$AH$5&amp;$E$6:$AH$6,1))</f>
        <v>24640.000000000004</v>
      </c>
      <c r="AS103" s="92" cm="1">
        <f t="array" aca="1" ref="AS103" ca="1">INDEX($E103:$AH103,1,MATCH(AS$3&amp;AS$4&amp;AS$5&amp;AS$6,$E$3:$AH$3&amp;$E$4:$AH$4&amp;$E$5:$AH$5&amp;$E$6:$AH$6,1))</f>
        <v>24640.000000000004</v>
      </c>
      <c r="AT103" s="22"/>
      <c r="AU103" s="92">
        <f t="shared" ref="AU103:AW105" ca="1" si="80">INDEX($E103:$AH103,MATCH(AU$5,$E$5:$AH$5,1))</f>
        <v>22400</v>
      </c>
      <c r="AV103" s="92">
        <f t="shared" ca="1" si="80"/>
        <v>24640.000000000004</v>
      </c>
      <c r="AW103" s="92">
        <f t="shared" ca="1" si="80"/>
        <v>24640.000000000004</v>
      </c>
    </row>
    <row r="104" spans="1:49" x14ac:dyDescent="0.2">
      <c r="C104" s="20" t="s">
        <v>91</v>
      </c>
      <c r="D104" s="20"/>
      <c r="E104" s="73">
        <v>2000</v>
      </c>
      <c r="F104" s="73">
        <v>2000</v>
      </c>
      <c r="G104" s="73">
        <v>2000</v>
      </c>
      <c r="H104" s="73">
        <v>2000</v>
      </c>
      <c r="I104" s="73">
        <v>2000</v>
      </c>
      <c r="J104" s="74">
        <v>2000</v>
      </c>
      <c r="K104" s="73">
        <v>2000</v>
      </c>
      <c r="L104" s="73">
        <v>2000</v>
      </c>
      <c r="M104" s="73">
        <v>2000</v>
      </c>
      <c r="N104" s="73">
        <v>2000</v>
      </c>
      <c r="O104" s="73">
        <v>2000</v>
      </c>
      <c r="P104" s="75">
        <v>2000</v>
      </c>
      <c r="Q104" s="73">
        <v>2000</v>
      </c>
      <c r="R104" s="73">
        <v>2100</v>
      </c>
      <c r="S104" s="73">
        <v>2100</v>
      </c>
      <c r="T104" s="73">
        <v>2100</v>
      </c>
      <c r="U104" s="73">
        <v>2100</v>
      </c>
      <c r="V104" s="73">
        <v>2100</v>
      </c>
      <c r="W104" s="73">
        <v>2100</v>
      </c>
      <c r="X104" s="73">
        <v>2100</v>
      </c>
      <c r="Y104" s="73">
        <v>2100</v>
      </c>
      <c r="Z104" s="73">
        <v>2100</v>
      </c>
      <c r="AA104" s="73">
        <v>2100</v>
      </c>
      <c r="AB104" s="73">
        <v>2100</v>
      </c>
      <c r="AC104" s="73">
        <v>2100</v>
      </c>
      <c r="AD104" s="73">
        <v>2100</v>
      </c>
      <c r="AE104" s="73">
        <v>2100</v>
      </c>
      <c r="AF104" s="73">
        <v>2100</v>
      </c>
      <c r="AG104" s="73">
        <v>2100</v>
      </c>
      <c r="AH104" s="73">
        <v>2100</v>
      </c>
      <c r="AJ104" s="92" cm="1">
        <f t="array" aca="1" ref="AJ104" ca="1">INDEX($E104:$AH104,1,MATCH(AJ$3&amp;AJ$4&amp;AJ$5&amp;AJ$6,$E$3:$AH$3&amp;$E$4:$AH$4&amp;$E$5:$AH$5&amp;$E$6:$AH$6,1))</f>
        <v>2000</v>
      </c>
      <c r="AK104" s="92" cm="1">
        <f t="array" aca="1" ref="AK104" ca="1">INDEX($E104:$AH104,1,MATCH(AK$3&amp;AK$4&amp;AK$5&amp;AK$6,$E$3:$AH$3&amp;$E$4:$AH$4&amp;$E$5:$AH$5&amp;$E$6:$AH$6,1))</f>
        <v>2000</v>
      </c>
      <c r="AL104" s="92" cm="1">
        <f t="array" aca="1" ref="AL104" ca="1">INDEX($E104:$AH104,1,MATCH(AL$3&amp;AL$4&amp;AL$5&amp;AL$6,$E$3:$AH$3&amp;$E$4:$AH$4&amp;$E$5:$AH$5&amp;$E$6:$AH$6,1))</f>
        <v>2000</v>
      </c>
      <c r="AM104" s="93" cm="1">
        <f t="array" aca="1" ref="AM104" ca="1">INDEX($E104:$AH104,1,MATCH(AM$3&amp;AM$4&amp;AM$5&amp;AM$6,$E$3:$AH$3&amp;$E$4:$AH$4&amp;$E$5:$AH$5&amp;$E$6:$AH$6,1))</f>
        <v>2000</v>
      </c>
      <c r="AN104" s="92" cm="1">
        <f t="array" aca="1" ref="AN104" ca="1">INDEX($E104:$AH104,1,MATCH(AN$3&amp;AN$4&amp;AN$5&amp;AN$6,$E$3:$AH$3&amp;$E$4:$AH$4&amp;$E$5:$AH$5&amp;$E$6:$AH$6,1))</f>
        <v>2100</v>
      </c>
      <c r="AO104" s="92" cm="1">
        <f t="array" aca="1" ref="AO104" ca="1">INDEX($E104:$AH104,1,MATCH(AO$3&amp;AO$4&amp;AO$5&amp;AO$6,$E$3:$AH$3&amp;$E$4:$AH$4&amp;$E$5:$AH$5&amp;$E$6:$AH$6,1))</f>
        <v>2100</v>
      </c>
      <c r="AP104" s="92" cm="1">
        <f t="array" aca="1" ref="AP104" ca="1">INDEX($E104:$AH104,1,MATCH(AP$3&amp;AP$4&amp;AP$5&amp;AP$6,$E$3:$AH$3&amp;$E$4:$AH$4&amp;$E$5:$AH$5&amp;$E$6:$AH$6,1))</f>
        <v>2100</v>
      </c>
      <c r="AQ104" s="92" cm="1">
        <f t="array" aca="1" ref="AQ104" ca="1">INDEX($E104:$AH104,1,MATCH(AQ$3&amp;AQ$4&amp;AQ$5&amp;AQ$6,$E$3:$AH$3&amp;$E$4:$AH$4&amp;$E$5:$AH$5&amp;$E$6:$AH$6,1))</f>
        <v>2100</v>
      </c>
      <c r="AR104" s="92" cm="1">
        <f t="array" aca="1" ref="AR104" ca="1">INDEX($E104:$AH104,1,MATCH(AR$3&amp;AR$4&amp;AR$5&amp;AR$6,$E$3:$AH$3&amp;$E$4:$AH$4&amp;$E$5:$AH$5&amp;$E$6:$AH$6,1))</f>
        <v>2100</v>
      </c>
      <c r="AS104" s="92" cm="1">
        <f t="array" aca="1" ref="AS104" ca="1">INDEX($E104:$AH104,1,MATCH(AS$3&amp;AS$4&amp;AS$5&amp;AS$6,$E$3:$AH$3&amp;$E$4:$AH$4&amp;$E$5:$AH$5&amp;$E$6:$AH$6,1))</f>
        <v>2100</v>
      </c>
      <c r="AT104" s="22"/>
      <c r="AU104" s="92">
        <f t="shared" ca="1" si="80"/>
        <v>2000</v>
      </c>
      <c r="AV104" s="92">
        <f t="shared" ca="1" si="80"/>
        <v>2100</v>
      </c>
      <c r="AW104" s="92">
        <f t="shared" ca="1" si="80"/>
        <v>2100</v>
      </c>
    </row>
    <row r="105" spans="1:49" x14ac:dyDescent="0.2">
      <c r="C105" s="25" t="s">
        <v>92</v>
      </c>
      <c r="D105" s="25"/>
      <c r="E105" s="94">
        <v>1000</v>
      </c>
      <c r="F105" s="94">
        <v>1000</v>
      </c>
      <c r="G105" s="94">
        <v>1000</v>
      </c>
      <c r="H105" s="94">
        <v>1000</v>
      </c>
      <c r="I105" s="94">
        <v>1000</v>
      </c>
      <c r="J105" s="94">
        <v>1000</v>
      </c>
      <c r="K105" s="94">
        <v>1000</v>
      </c>
      <c r="L105" s="94">
        <v>1000</v>
      </c>
      <c r="M105" s="94">
        <v>1000</v>
      </c>
      <c r="N105" s="94">
        <v>1000</v>
      </c>
      <c r="O105" s="94">
        <v>1000</v>
      </c>
      <c r="P105" s="95">
        <v>1000</v>
      </c>
      <c r="Q105" s="94">
        <v>1000</v>
      </c>
      <c r="R105" s="94">
        <v>1000</v>
      </c>
      <c r="S105" s="94">
        <v>1000</v>
      </c>
      <c r="T105" s="94">
        <v>1000</v>
      </c>
      <c r="U105" s="94">
        <v>1000</v>
      </c>
      <c r="V105" s="94">
        <v>1000</v>
      </c>
      <c r="W105" s="94">
        <v>1000</v>
      </c>
      <c r="X105" s="94">
        <v>1000</v>
      </c>
      <c r="Y105" s="94">
        <v>1000</v>
      </c>
      <c r="Z105" s="94">
        <v>1000</v>
      </c>
      <c r="AA105" s="94">
        <v>1000</v>
      </c>
      <c r="AB105" s="94">
        <v>1000</v>
      </c>
      <c r="AC105" s="94">
        <v>1000</v>
      </c>
      <c r="AD105" s="94">
        <v>1000</v>
      </c>
      <c r="AE105" s="94">
        <v>1000</v>
      </c>
      <c r="AF105" s="94">
        <v>1000</v>
      </c>
      <c r="AG105" s="94">
        <v>1000</v>
      </c>
      <c r="AH105" s="94">
        <v>1000</v>
      </c>
      <c r="AJ105" s="96" cm="1">
        <f t="array" aca="1" ref="AJ105" ca="1">INDEX($E105:$AH105,1,MATCH(AJ$3&amp;AJ$4&amp;AJ$5&amp;AJ$6,$E$3:$AH$3&amp;$E$4:$AH$4&amp;$E$5:$AH$5&amp;$E$6:$AH$6,1))</f>
        <v>1000</v>
      </c>
      <c r="AK105" s="96" cm="1">
        <f t="array" aca="1" ref="AK105" ca="1">INDEX($E105:$AH105,1,MATCH(AK$3&amp;AK$4&amp;AK$5&amp;AK$6,$E$3:$AH$3&amp;$E$4:$AH$4&amp;$E$5:$AH$5&amp;$E$6:$AH$6,1))</f>
        <v>1000</v>
      </c>
      <c r="AL105" s="96" cm="1">
        <f t="array" aca="1" ref="AL105" ca="1">INDEX($E105:$AH105,1,MATCH(AL$3&amp;AL$4&amp;AL$5&amp;AL$6,$E$3:$AH$3&amp;$E$4:$AH$4&amp;$E$5:$AH$5&amp;$E$6:$AH$6,1))</f>
        <v>1000</v>
      </c>
      <c r="AM105" s="97" cm="1">
        <f t="array" aca="1" ref="AM105" ca="1">INDEX($E105:$AH105,1,MATCH(AM$3&amp;AM$4&amp;AM$5&amp;AM$6,$E$3:$AH$3&amp;$E$4:$AH$4&amp;$E$5:$AH$5&amp;$E$6:$AH$6,1))</f>
        <v>1000</v>
      </c>
      <c r="AN105" s="96" cm="1">
        <f t="array" aca="1" ref="AN105" ca="1">INDEX($E105:$AH105,1,MATCH(AN$3&amp;AN$4&amp;AN$5&amp;AN$6,$E$3:$AH$3&amp;$E$4:$AH$4&amp;$E$5:$AH$5&amp;$E$6:$AH$6,1))</f>
        <v>1000</v>
      </c>
      <c r="AO105" s="96" cm="1">
        <f t="array" aca="1" ref="AO105" ca="1">INDEX($E105:$AH105,1,MATCH(AO$3&amp;AO$4&amp;AO$5&amp;AO$6,$E$3:$AH$3&amp;$E$4:$AH$4&amp;$E$5:$AH$5&amp;$E$6:$AH$6,1))</f>
        <v>1000</v>
      </c>
      <c r="AP105" s="96" cm="1">
        <f t="array" aca="1" ref="AP105" ca="1">INDEX($E105:$AH105,1,MATCH(AP$3&amp;AP$4&amp;AP$5&amp;AP$6,$E$3:$AH$3&amp;$E$4:$AH$4&amp;$E$5:$AH$5&amp;$E$6:$AH$6,1))</f>
        <v>1000</v>
      </c>
      <c r="AQ105" s="96" cm="1">
        <f t="array" aca="1" ref="AQ105" ca="1">INDEX($E105:$AH105,1,MATCH(AQ$3&amp;AQ$4&amp;AQ$5&amp;AQ$6,$E$3:$AH$3&amp;$E$4:$AH$4&amp;$E$5:$AH$5&amp;$E$6:$AH$6,1))</f>
        <v>1000</v>
      </c>
      <c r="AR105" s="96" cm="1">
        <f t="array" aca="1" ref="AR105" ca="1">INDEX($E105:$AH105,1,MATCH(AR$3&amp;AR$4&amp;AR$5&amp;AR$6,$E$3:$AH$3&amp;$E$4:$AH$4&amp;$E$5:$AH$5&amp;$E$6:$AH$6,1))</f>
        <v>1000</v>
      </c>
      <c r="AS105" s="96" cm="1">
        <f t="array" aca="1" ref="AS105" ca="1">INDEX($E105:$AH105,1,MATCH(AS$3&amp;AS$4&amp;AS$5&amp;AS$6,$E$3:$AH$3&amp;$E$4:$AH$4&amp;$E$5:$AH$5&amp;$E$6:$AH$6,1))</f>
        <v>1000</v>
      </c>
      <c r="AT105" s="22"/>
      <c r="AU105" s="96">
        <f t="shared" ca="1" si="80"/>
        <v>1000</v>
      </c>
      <c r="AV105" s="96">
        <f t="shared" ca="1" si="80"/>
        <v>1000</v>
      </c>
      <c r="AW105" s="96">
        <f t="shared" ca="1" si="80"/>
        <v>1000</v>
      </c>
    </row>
    <row r="106" spans="1:49" x14ac:dyDescent="0.2">
      <c r="C106" t="s">
        <v>93</v>
      </c>
      <c r="E106" s="92">
        <f>SUM(E103:E105)</f>
        <v>25400</v>
      </c>
      <c r="F106" s="92">
        <f t="shared" ref="F106:AH106" si="81">SUM(F103:F105)</f>
        <v>25400</v>
      </c>
      <c r="G106" s="92">
        <f t="shared" si="81"/>
        <v>25400</v>
      </c>
      <c r="H106" s="92">
        <f t="shared" si="81"/>
        <v>25400</v>
      </c>
      <c r="I106" s="92">
        <f t="shared" si="81"/>
        <v>25400</v>
      </c>
      <c r="J106" s="92">
        <f t="shared" si="81"/>
        <v>25400</v>
      </c>
      <c r="K106" s="92">
        <f t="shared" si="81"/>
        <v>25400</v>
      </c>
      <c r="L106" s="92">
        <f t="shared" si="81"/>
        <v>25400</v>
      </c>
      <c r="M106" s="92">
        <f t="shared" si="81"/>
        <v>25400</v>
      </c>
      <c r="N106" s="92">
        <f t="shared" si="81"/>
        <v>25400</v>
      </c>
      <c r="O106" s="92">
        <f t="shared" si="81"/>
        <v>25400</v>
      </c>
      <c r="P106" s="98">
        <f t="shared" si="81"/>
        <v>25400</v>
      </c>
      <c r="Q106" s="98">
        <f t="shared" si="81"/>
        <v>25959.999999999996</v>
      </c>
      <c r="R106" s="98">
        <f t="shared" si="81"/>
        <v>26620</v>
      </c>
      <c r="S106" s="98">
        <f t="shared" si="81"/>
        <v>27908</v>
      </c>
      <c r="T106" s="98">
        <f t="shared" si="81"/>
        <v>27740.000000000004</v>
      </c>
      <c r="U106" s="98">
        <f t="shared" si="81"/>
        <v>27740.000000000004</v>
      </c>
      <c r="V106" s="98">
        <f t="shared" si="81"/>
        <v>27740.000000000004</v>
      </c>
      <c r="W106" s="98">
        <f t="shared" si="81"/>
        <v>27740.000000000004</v>
      </c>
      <c r="X106" s="98">
        <f t="shared" si="81"/>
        <v>27740.000000000004</v>
      </c>
      <c r="Y106" s="98">
        <f t="shared" si="81"/>
        <v>27740.000000000004</v>
      </c>
      <c r="Z106" s="98">
        <f t="shared" si="81"/>
        <v>27740.000000000004</v>
      </c>
      <c r="AA106" s="98">
        <f t="shared" si="81"/>
        <v>27740.000000000004</v>
      </c>
      <c r="AB106" s="98">
        <f t="shared" si="81"/>
        <v>27740.000000000004</v>
      </c>
      <c r="AC106" s="98">
        <f t="shared" si="81"/>
        <v>27740.000000000004</v>
      </c>
      <c r="AD106" s="98">
        <f t="shared" si="81"/>
        <v>27740.000000000004</v>
      </c>
      <c r="AE106" s="98">
        <f t="shared" si="81"/>
        <v>27740.000000000004</v>
      </c>
      <c r="AF106" s="98">
        <f t="shared" si="81"/>
        <v>27740.000000000004</v>
      </c>
      <c r="AG106" s="98">
        <f t="shared" si="81"/>
        <v>27740.000000000004</v>
      </c>
      <c r="AH106" s="98">
        <f t="shared" si="81"/>
        <v>27740.000000000004</v>
      </c>
      <c r="AJ106" s="92">
        <f t="shared" ref="AJ106:AW106" ca="1" si="82">SUM(AJ103:AJ105)</f>
        <v>25400</v>
      </c>
      <c r="AK106" s="92">
        <f t="shared" ca="1" si="82"/>
        <v>25400</v>
      </c>
      <c r="AL106" s="92">
        <f t="shared" ca="1" si="82"/>
        <v>25400</v>
      </c>
      <c r="AM106" s="98">
        <f t="shared" ca="1" si="82"/>
        <v>25400</v>
      </c>
      <c r="AN106" s="92">
        <f t="shared" ca="1" si="82"/>
        <v>27908</v>
      </c>
      <c r="AO106" s="92">
        <f t="shared" ca="1" si="82"/>
        <v>27740.000000000004</v>
      </c>
      <c r="AP106" s="92">
        <f t="shared" ca="1" si="82"/>
        <v>27740.000000000004</v>
      </c>
      <c r="AQ106" s="92">
        <f t="shared" ca="1" si="82"/>
        <v>27740.000000000004</v>
      </c>
      <c r="AR106" s="92">
        <f t="shared" ca="1" si="82"/>
        <v>27740.000000000004</v>
      </c>
      <c r="AS106" s="92">
        <f t="shared" ca="1" si="82"/>
        <v>27740.000000000004</v>
      </c>
      <c r="AT106" s="22"/>
      <c r="AU106" s="92">
        <f t="shared" ca="1" si="82"/>
        <v>25400</v>
      </c>
      <c r="AV106" s="92">
        <f t="shared" ca="1" si="82"/>
        <v>27740.000000000004</v>
      </c>
      <c r="AW106" s="92">
        <f t="shared" ca="1" si="82"/>
        <v>27740.000000000004</v>
      </c>
    </row>
    <row r="107" spans="1:49" x14ac:dyDescent="0.2">
      <c r="P107" s="2"/>
      <c r="AM107" s="2"/>
      <c r="AT107" s="22"/>
    </row>
    <row r="108" spans="1:49" x14ac:dyDescent="0.2">
      <c r="C108" s="99" t="s">
        <v>94</v>
      </c>
      <c r="D108" s="99"/>
      <c r="P108" s="2"/>
      <c r="AM108" s="2"/>
      <c r="AT108" s="22"/>
    </row>
    <row r="109" spans="1:49" x14ac:dyDescent="0.2">
      <c r="C109" s="20" t="s">
        <v>90</v>
      </c>
      <c r="D109" s="20"/>
      <c r="E109" s="100">
        <f>E119*12*1000000/E103</f>
        <v>145000</v>
      </c>
      <c r="F109" s="100">
        <f t="shared" ref="F109:P111" si="83">F119*12*1000000/F103</f>
        <v>145000</v>
      </c>
      <c r="G109" s="100">
        <f t="shared" si="83"/>
        <v>145000</v>
      </c>
      <c r="H109" s="100">
        <f t="shared" si="83"/>
        <v>145000</v>
      </c>
      <c r="I109" s="100">
        <f t="shared" si="83"/>
        <v>145000</v>
      </c>
      <c r="J109" s="100">
        <f t="shared" si="83"/>
        <v>145000</v>
      </c>
      <c r="K109" s="100">
        <f t="shared" si="83"/>
        <v>145000</v>
      </c>
      <c r="L109" s="100">
        <f t="shared" si="83"/>
        <v>145000</v>
      </c>
      <c r="M109" s="100">
        <f t="shared" si="83"/>
        <v>145000</v>
      </c>
      <c r="N109" s="100">
        <f t="shared" si="83"/>
        <v>145000</v>
      </c>
      <c r="O109" s="100">
        <f t="shared" si="83"/>
        <v>145000</v>
      </c>
      <c r="P109" s="101">
        <f t="shared" si="83"/>
        <v>145000</v>
      </c>
      <c r="Q109" s="100">
        <f>P109*(1+Q114)</f>
        <v>145000</v>
      </c>
      <c r="R109" s="100">
        <f t="shared" ref="R109:AH109" si="84">Q109*(1+R114)</f>
        <v>145000</v>
      </c>
      <c r="S109" s="100">
        <f t="shared" si="84"/>
        <v>145000</v>
      </c>
      <c r="T109" s="100">
        <f t="shared" si="84"/>
        <v>145000</v>
      </c>
      <c r="U109" s="100">
        <f t="shared" si="84"/>
        <v>145000</v>
      </c>
      <c r="V109" s="100">
        <f t="shared" si="84"/>
        <v>145000</v>
      </c>
      <c r="W109" s="100">
        <f t="shared" si="84"/>
        <v>145000</v>
      </c>
      <c r="X109" s="100">
        <f t="shared" si="84"/>
        <v>145000</v>
      </c>
      <c r="Y109" s="102">
        <f t="shared" si="84"/>
        <v>152250</v>
      </c>
      <c r="Z109" s="100">
        <f t="shared" si="84"/>
        <v>152250</v>
      </c>
      <c r="AA109" s="100">
        <f t="shared" si="84"/>
        <v>152250</v>
      </c>
      <c r="AB109" s="100">
        <f t="shared" si="84"/>
        <v>152250</v>
      </c>
      <c r="AC109" s="100">
        <f t="shared" si="84"/>
        <v>152250</v>
      </c>
      <c r="AD109" s="100">
        <f t="shared" si="84"/>
        <v>152250</v>
      </c>
      <c r="AE109" s="100">
        <f t="shared" si="84"/>
        <v>152250</v>
      </c>
      <c r="AF109" s="100">
        <f t="shared" si="84"/>
        <v>152250</v>
      </c>
      <c r="AG109" s="100">
        <f t="shared" si="84"/>
        <v>152250</v>
      </c>
      <c r="AH109" s="100">
        <f t="shared" si="84"/>
        <v>152250</v>
      </c>
      <c r="AJ109" s="100">
        <f ca="1">AJ119*1000000*4/AJ103</f>
        <v>145000</v>
      </c>
      <c r="AK109" s="103">
        <f t="shared" ref="AK109:AS111" ca="1" si="85">AK119*1000000*4/AK103</f>
        <v>145000</v>
      </c>
      <c r="AL109" s="103">
        <f t="shared" ca="1" si="85"/>
        <v>145000</v>
      </c>
      <c r="AM109" s="104">
        <f t="shared" ca="1" si="85"/>
        <v>145000</v>
      </c>
      <c r="AN109" s="103">
        <f t="shared" ca="1" si="85"/>
        <v>138890.14296463504</v>
      </c>
      <c r="AO109" s="103">
        <f t="shared" ca="1" si="85"/>
        <v>144999.99999999997</v>
      </c>
      <c r="AP109" s="103">
        <f t="shared" ca="1" si="85"/>
        <v>147416.66666666669</v>
      </c>
      <c r="AQ109" s="103">
        <f t="shared" ca="1" si="85"/>
        <v>152250</v>
      </c>
      <c r="AR109" s="103">
        <f t="shared" ca="1" si="85"/>
        <v>152250</v>
      </c>
      <c r="AS109" s="103">
        <f t="shared" ca="1" si="85"/>
        <v>152250</v>
      </c>
      <c r="AT109" s="22"/>
      <c r="AU109" s="103">
        <f ca="1">AU119*1000000*2/AU103</f>
        <v>145000.00000000003</v>
      </c>
      <c r="AV109" s="103">
        <f ca="1">AV119*1000000/AV103</f>
        <v>137118.37121212122</v>
      </c>
      <c r="AW109" s="103">
        <f t="shared" ref="AW109:AW111" ca="1" si="86">AW119*1000000/AW103</f>
        <v>151041.66666666663</v>
      </c>
    </row>
    <row r="110" spans="1:49" x14ac:dyDescent="0.2">
      <c r="C110" s="20" t="s">
        <v>91</v>
      </c>
      <c r="D110" s="20"/>
      <c r="E110" s="100">
        <f t="shared" ref="E110:P111" si="87">E120*12*1000000/E104</f>
        <v>75000</v>
      </c>
      <c r="F110" s="100">
        <f t="shared" si="87"/>
        <v>75000</v>
      </c>
      <c r="G110" s="100">
        <f t="shared" si="87"/>
        <v>75000</v>
      </c>
      <c r="H110" s="100">
        <f t="shared" si="87"/>
        <v>75000</v>
      </c>
      <c r="I110" s="100">
        <f t="shared" si="87"/>
        <v>75000</v>
      </c>
      <c r="J110" s="100">
        <f t="shared" si="87"/>
        <v>75000</v>
      </c>
      <c r="K110" s="100">
        <f t="shared" si="87"/>
        <v>75000</v>
      </c>
      <c r="L110" s="100">
        <f t="shared" si="87"/>
        <v>75000</v>
      </c>
      <c r="M110" s="100">
        <f t="shared" si="87"/>
        <v>75000</v>
      </c>
      <c r="N110" s="100">
        <f t="shared" si="87"/>
        <v>75000</v>
      </c>
      <c r="O110" s="100">
        <f t="shared" si="87"/>
        <v>75000</v>
      </c>
      <c r="P110" s="101">
        <f t="shared" si="87"/>
        <v>75000</v>
      </c>
      <c r="Q110" s="100">
        <f t="shared" ref="Q110:AH111" si="88">P110*(1+Q115)</f>
        <v>75000</v>
      </c>
      <c r="R110" s="100">
        <f t="shared" si="88"/>
        <v>75000</v>
      </c>
      <c r="S110" s="100">
        <f t="shared" si="88"/>
        <v>75000</v>
      </c>
      <c r="T110" s="100">
        <f t="shared" si="88"/>
        <v>75000</v>
      </c>
      <c r="U110" s="100">
        <f t="shared" si="88"/>
        <v>75000</v>
      </c>
      <c r="V110" s="100">
        <f t="shared" si="88"/>
        <v>75000</v>
      </c>
      <c r="W110" s="100">
        <f t="shared" si="88"/>
        <v>75000</v>
      </c>
      <c r="X110" s="100">
        <f t="shared" si="88"/>
        <v>75000</v>
      </c>
      <c r="Y110" s="102">
        <f t="shared" si="88"/>
        <v>77250</v>
      </c>
      <c r="Z110" s="100">
        <f t="shared" si="88"/>
        <v>77250</v>
      </c>
      <c r="AA110" s="100">
        <f t="shared" si="88"/>
        <v>77250</v>
      </c>
      <c r="AB110" s="100">
        <f t="shared" si="88"/>
        <v>77250</v>
      </c>
      <c r="AC110" s="100">
        <f t="shared" si="88"/>
        <v>77250</v>
      </c>
      <c r="AD110" s="100">
        <f t="shared" si="88"/>
        <v>77250</v>
      </c>
      <c r="AE110" s="100">
        <f t="shared" si="88"/>
        <v>77250</v>
      </c>
      <c r="AF110" s="100">
        <f t="shared" si="88"/>
        <v>77250</v>
      </c>
      <c r="AG110" s="100">
        <f t="shared" si="88"/>
        <v>77250</v>
      </c>
      <c r="AH110" s="100">
        <f t="shared" si="88"/>
        <v>77250</v>
      </c>
      <c r="AJ110" s="100">
        <f ca="1">AJ120*1000000*4/AJ104</f>
        <v>75000</v>
      </c>
      <c r="AK110" s="103">
        <f t="shared" ca="1" si="85"/>
        <v>75000</v>
      </c>
      <c r="AL110" s="103">
        <f t="shared" ca="1" si="85"/>
        <v>75000</v>
      </c>
      <c r="AM110" s="104">
        <f t="shared" ca="1" si="85"/>
        <v>75000</v>
      </c>
      <c r="AN110" s="103">
        <f t="shared" ca="1" si="85"/>
        <v>73809.523809523816</v>
      </c>
      <c r="AO110" s="103">
        <f t="shared" ca="1" si="85"/>
        <v>75000</v>
      </c>
      <c r="AP110" s="103">
        <f t="shared" ca="1" si="85"/>
        <v>75750</v>
      </c>
      <c r="AQ110" s="103">
        <f t="shared" ca="1" si="85"/>
        <v>77250.000000000015</v>
      </c>
      <c r="AR110" s="103">
        <f t="shared" ca="1" si="85"/>
        <v>77250.000000000015</v>
      </c>
      <c r="AS110" s="103">
        <f t="shared" ca="1" si="85"/>
        <v>77250.000000000015</v>
      </c>
      <c r="AT110" s="22"/>
      <c r="AU110" s="103">
        <f t="shared" ref="AU110:AU111" ca="1" si="89">AU120*1000000*2/AU104</f>
        <v>75000</v>
      </c>
      <c r="AV110" s="103">
        <f t="shared" ref="AV110:AV111" ca="1" si="90">AV120*1000000/AV104</f>
        <v>72916.666666666672</v>
      </c>
      <c r="AW110" s="103">
        <f t="shared" ca="1" si="86"/>
        <v>76875</v>
      </c>
    </row>
    <row r="111" spans="1:49" x14ac:dyDescent="0.2">
      <c r="C111" s="20" t="s">
        <v>92</v>
      </c>
      <c r="D111" s="20"/>
      <c r="E111" s="100">
        <f t="shared" si="87"/>
        <v>85000</v>
      </c>
      <c r="F111" s="100">
        <f t="shared" si="83"/>
        <v>85000</v>
      </c>
      <c r="G111" s="100">
        <f t="shared" si="83"/>
        <v>85000</v>
      </c>
      <c r="H111" s="100">
        <f t="shared" si="83"/>
        <v>85000</v>
      </c>
      <c r="I111" s="100">
        <f t="shared" si="83"/>
        <v>85000</v>
      </c>
      <c r="J111" s="100">
        <f t="shared" si="83"/>
        <v>85000</v>
      </c>
      <c r="K111" s="100">
        <f t="shared" si="83"/>
        <v>85000</v>
      </c>
      <c r="L111" s="100">
        <f t="shared" si="83"/>
        <v>85000</v>
      </c>
      <c r="M111" s="100">
        <f t="shared" si="83"/>
        <v>85000</v>
      </c>
      <c r="N111" s="100">
        <f t="shared" si="83"/>
        <v>85000</v>
      </c>
      <c r="O111" s="100">
        <f t="shared" si="83"/>
        <v>85000</v>
      </c>
      <c r="P111" s="101">
        <f t="shared" si="83"/>
        <v>85000</v>
      </c>
      <c r="Q111" s="100">
        <f t="shared" si="88"/>
        <v>85000</v>
      </c>
      <c r="R111" s="100">
        <f t="shared" si="88"/>
        <v>85000</v>
      </c>
      <c r="S111" s="100">
        <f t="shared" si="88"/>
        <v>85000</v>
      </c>
      <c r="T111" s="100">
        <f t="shared" si="88"/>
        <v>85000</v>
      </c>
      <c r="U111" s="100">
        <f t="shared" si="88"/>
        <v>85000</v>
      </c>
      <c r="V111" s="100">
        <f t="shared" si="88"/>
        <v>85000</v>
      </c>
      <c r="W111" s="100">
        <f t="shared" si="88"/>
        <v>85000</v>
      </c>
      <c r="X111" s="100">
        <f t="shared" si="88"/>
        <v>85000</v>
      </c>
      <c r="Y111" s="100">
        <f t="shared" si="88"/>
        <v>85000</v>
      </c>
      <c r="Z111" s="100">
        <f t="shared" si="88"/>
        <v>85000</v>
      </c>
      <c r="AA111" s="100">
        <f t="shared" si="88"/>
        <v>85000</v>
      </c>
      <c r="AB111" s="100">
        <f t="shared" si="88"/>
        <v>85000</v>
      </c>
      <c r="AC111" s="100">
        <f t="shared" si="88"/>
        <v>85000</v>
      </c>
      <c r="AD111" s="100">
        <f t="shared" si="88"/>
        <v>85000</v>
      </c>
      <c r="AE111" s="100">
        <f t="shared" si="88"/>
        <v>85000</v>
      </c>
      <c r="AF111" s="100">
        <f t="shared" si="88"/>
        <v>85000</v>
      </c>
      <c r="AG111" s="100">
        <f t="shared" si="88"/>
        <v>85000</v>
      </c>
      <c r="AH111" s="100">
        <f t="shared" si="88"/>
        <v>85000</v>
      </c>
      <c r="AJ111" s="100">
        <f ca="1">AJ121*1000000*4/AJ105</f>
        <v>85000</v>
      </c>
      <c r="AK111" s="103">
        <f t="shared" ca="1" si="85"/>
        <v>85000</v>
      </c>
      <c r="AL111" s="103">
        <f t="shared" ca="1" si="85"/>
        <v>85000</v>
      </c>
      <c r="AM111" s="104">
        <f t="shared" ca="1" si="85"/>
        <v>85000</v>
      </c>
      <c r="AN111" s="103">
        <f t="shared" ca="1" si="85"/>
        <v>85000</v>
      </c>
      <c r="AO111" s="103">
        <f t="shared" ca="1" si="85"/>
        <v>85000</v>
      </c>
      <c r="AP111" s="103">
        <f t="shared" ca="1" si="85"/>
        <v>85000</v>
      </c>
      <c r="AQ111" s="103">
        <f t="shared" ca="1" si="85"/>
        <v>85000</v>
      </c>
      <c r="AR111" s="103">
        <f t="shared" ca="1" si="85"/>
        <v>85000</v>
      </c>
      <c r="AS111" s="103">
        <f t="shared" ca="1" si="85"/>
        <v>85000</v>
      </c>
      <c r="AT111" s="22"/>
      <c r="AU111" s="103">
        <f t="shared" ca="1" si="89"/>
        <v>85000</v>
      </c>
      <c r="AV111" s="103">
        <f t="shared" ca="1" si="90"/>
        <v>85000</v>
      </c>
      <c r="AW111" s="103">
        <f t="shared" ca="1" si="86"/>
        <v>85000</v>
      </c>
    </row>
    <row r="112" spans="1:49" x14ac:dyDescent="0.2">
      <c r="P112" s="2"/>
      <c r="AM112" s="2"/>
    </row>
    <row r="113" spans="2:49" x14ac:dyDescent="0.2">
      <c r="C113" s="16" t="s">
        <v>95</v>
      </c>
      <c r="D113" s="16"/>
      <c r="P113" s="2"/>
      <c r="AM113" s="2"/>
    </row>
    <row r="114" spans="2:49" x14ac:dyDescent="0.2">
      <c r="C114" s="20" t="s">
        <v>90</v>
      </c>
      <c r="D114" s="20"/>
      <c r="E114" s="105"/>
      <c r="F114" s="82">
        <f>(F109-E109)/E109</f>
        <v>0</v>
      </c>
      <c r="G114" s="82">
        <f t="shared" ref="G114:P114" si="91">(G109-F109)/F109</f>
        <v>0</v>
      </c>
      <c r="H114" s="82">
        <f t="shared" si="91"/>
        <v>0</v>
      </c>
      <c r="I114" s="82">
        <f t="shared" si="91"/>
        <v>0</v>
      </c>
      <c r="J114" s="82">
        <f t="shared" si="91"/>
        <v>0</v>
      </c>
      <c r="K114" s="82">
        <f t="shared" si="91"/>
        <v>0</v>
      </c>
      <c r="L114" s="82">
        <f t="shared" si="91"/>
        <v>0</v>
      </c>
      <c r="M114" s="82">
        <f t="shared" si="91"/>
        <v>0</v>
      </c>
      <c r="N114" s="82">
        <f t="shared" si="91"/>
        <v>0</v>
      </c>
      <c r="O114" s="82">
        <f t="shared" si="91"/>
        <v>0</v>
      </c>
      <c r="P114" s="82">
        <f t="shared" si="91"/>
        <v>0</v>
      </c>
      <c r="Q114" s="106">
        <v>0</v>
      </c>
      <c r="R114" s="107">
        <v>0</v>
      </c>
      <c r="S114" s="107">
        <v>0</v>
      </c>
      <c r="T114" s="107">
        <v>0</v>
      </c>
      <c r="U114" s="107">
        <v>0</v>
      </c>
      <c r="V114" s="107">
        <v>0</v>
      </c>
      <c r="W114" s="107">
        <v>0</v>
      </c>
      <c r="X114" s="107">
        <v>0</v>
      </c>
      <c r="Y114" s="107">
        <v>0.05</v>
      </c>
      <c r="Z114" s="107">
        <v>0</v>
      </c>
      <c r="AA114" s="107">
        <v>0</v>
      </c>
      <c r="AB114" s="107">
        <v>0</v>
      </c>
      <c r="AC114" s="107">
        <v>0</v>
      </c>
      <c r="AD114" s="107">
        <v>0</v>
      </c>
      <c r="AE114" s="107">
        <v>0</v>
      </c>
      <c r="AF114" s="107">
        <v>0</v>
      </c>
      <c r="AG114" s="107">
        <v>0</v>
      </c>
      <c r="AH114" s="107">
        <v>0</v>
      </c>
      <c r="AM114" s="2"/>
    </row>
    <row r="115" spans="2:49" x14ac:dyDescent="0.2">
      <c r="C115" s="20" t="s">
        <v>91</v>
      </c>
      <c r="D115" s="20"/>
      <c r="E115" s="105"/>
      <c r="F115" s="82">
        <f t="shared" ref="F115:P116" si="92">(F110-E110)/E110</f>
        <v>0</v>
      </c>
      <c r="G115" s="82">
        <f t="shared" si="92"/>
        <v>0</v>
      </c>
      <c r="H115" s="82">
        <f t="shared" si="92"/>
        <v>0</v>
      </c>
      <c r="I115" s="82">
        <f t="shared" si="92"/>
        <v>0</v>
      </c>
      <c r="J115" s="82">
        <f t="shared" si="92"/>
        <v>0</v>
      </c>
      <c r="K115" s="82">
        <f t="shared" si="92"/>
        <v>0</v>
      </c>
      <c r="L115" s="82">
        <f t="shared" si="92"/>
        <v>0</v>
      </c>
      <c r="M115" s="82">
        <f t="shared" si="92"/>
        <v>0</v>
      </c>
      <c r="N115" s="82">
        <f t="shared" si="92"/>
        <v>0</v>
      </c>
      <c r="O115" s="82">
        <f t="shared" si="92"/>
        <v>0</v>
      </c>
      <c r="P115" s="82">
        <f t="shared" si="92"/>
        <v>0</v>
      </c>
      <c r="Q115" s="106">
        <v>0</v>
      </c>
      <c r="R115" s="107">
        <v>0</v>
      </c>
      <c r="S115" s="107">
        <v>0</v>
      </c>
      <c r="T115" s="107">
        <v>0</v>
      </c>
      <c r="U115" s="107">
        <v>0</v>
      </c>
      <c r="V115" s="107">
        <v>0</v>
      </c>
      <c r="W115" s="107">
        <v>0</v>
      </c>
      <c r="X115" s="107">
        <v>0</v>
      </c>
      <c r="Y115" s="107">
        <v>0.03</v>
      </c>
      <c r="Z115" s="107">
        <v>0</v>
      </c>
      <c r="AA115" s="107">
        <v>0</v>
      </c>
      <c r="AB115" s="107">
        <v>0</v>
      </c>
      <c r="AC115" s="107">
        <v>0</v>
      </c>
      <c r="AD115" s="107">
        <v>0</v>
      </c>
      <c r="AE115" s="107">
        <v>0</v>
      </c>
      <c r="AF115" s="107">
        <v>0</v>
      </c>
      <c r="AG115" s="107">
        <v>0</v>
      </c>
      <c r="AH115" s="107">
        <v>0</v>
      </c>
      <c r="AM115" s="2"/>
    </row>
    <row r="116" spans="2:49" x14ac:dyDescent="0.2">
      <c r="C116" s="20" t="s">
        <v>92</v>
      </c>
      <c r="D116" s="20"/>
      <c r="E116" s="105"/>
      <c r="F116" s="82">
        <f t="shared" si="92"/>
        <v>0</v>
      </c>
      <c r="G116" s="82">
        <f t="shared" si="92"/>
        <v>0</v>
      </c>
      <c r="H116" s="82">
        <f t="shared" si="92"/>
        <v>0</v>
      </c>
      <c r="I116" s="82">
        <f t="shared" si="92"/>
        <v>0</v>
      </c>
      <c r="J116" s="82">
        <f t="shared" si="92"/>
        <v>0</v>
      </c>
      <c r="K116" s="82">
        <f t="shared" si="92"/>
        <v>0</v>
      </c>
      <c r="L116" s="82">
        <f t="shared" si="92"/>
        <v>0</v>
      </c>
      <c r="M116" s="82">
        <f t="shared" si="92"/>
        <v>0</v>
      </c>
      <c r="N116" s="82">
        <f t="shared" si="92"/>
        <v>0</v>
      </c>
      <c r="O116" s="82">
        <f t="shared" si="92"/>
        <v>0</v>
      </c>
      <c r="P116" s="82">
        <f t="shared" si="92"/>
        <v>0</v>
      </c>
      <c r="Q116" s="106">
        <v>0</v>
      </c>
      <c r="R116" s="107">
        <v>0</v>
      </c>
      <c r="S116" s="107">
        <v>0</v>
      </c>
      <c r="T116" s="107">
        <v>0</v>
      </c>
      <c r="U116" s="107">
        <v>0</v>
      </c>
      <c r="V116" s="107">
        <v>0</v>
      </c>
      <c r="W116" s="107">
        <v>0</v>
      </c>
      <c r="X116" s="107">
        <v>0</v>
      </c>
      <c r="Y116" s="107">
        <v>0</v>
      </c>
      <c r="Z116" s="107">
        <v>0</v>
      </c>
      <c r="AA116" s="107">
        <v>0</v>
      </c>
      <c r="AB116" s="107">
        <v>0</v>
      </c>
      <c r="AC116" s="107">
        <v>0</v>
      </c>
      <c r="AD116" s="107">
        <v>0</v>
      </c>
      <c r="AE116" s="107">
        <v>0</v>
      </c>
      <c r="AF116" s="107">
        <v>0</v>
      </c>
      <c r="AG116" s="107">
        <v>0</v>
      </c>
      <c r="AH116" s="107">
        <v>0</v>
      </c>
      <c r="AM116" s="2"/>
    </row>
    <row r="117" spans="2:49" x14ac:dyDescent="0.2">
      <c r="P117" s="2"/>
      <c r="AM117" s="2"/>
    </row>
    <row r="118" spans="2:49" x14ac:dyDescent="0.2">
      <c r="C118" s="99" t="s">
        <v>96</v>
      </c>
      <c r="D118" s="99"/>
      <c r="P118" s="2"/>
      <c r="AM118" s="2"/>
    </row>
    <row r="119" spans="2:49" x14ac:dyDescent="0.2">
      <c r="C119" s="20" t="s">
        <v>90</v>
      </c>
      <c r="D119" s="20"/>
      <c r="E119" s="66">
        <v>270.66666666666669</v>
      </c>
      <c r="F119" s="66">
        <v>270.66666666666669</v>
      </c>
      <c r="G119" s="66">
        <v>270.66666666666669</v>
      </c>
      <c r="H119" s="66">
        <v>270.66666666666669</v>
      </c>
      <c r="I119" s="66">
        <v>270.66666666666669</v>
      </c>
      <c r="J119" s="66">
        <v>270.66666666666669</v>
      </c>
      <c r="K119" s="66">
        <v>270.66666666666669</v>
      </c>
      <c r="L119" s="66">
        <v>270.66666666666669</v>
      </c>
      <c r="M119" s="66">
        <v>270.66666666666669</v>
      </c>
      <c r="N119" s="66">
        <v>270.66666666666669</v>
      </c>
      <c r="O119" s="66">
        <v>270.66666666666669</v>
      </c>
      <c r="P119" s="42">
        <v>270.66666666666669</v>
      </c>
      <c r="Q119" s="108">
        <f>Q109*Q103/12/1000000</f>
        <v>277.43333333333334</v>
      </c>
      <c r="R119" s="108">
        <f t="shared" ref="R119:AH119" si="93">R109*R103/12/1000000</f>
        <v>284.2</v>
      </c>
      <c r="S119" s="108">
        <f t="shared" si="93"/>
        <v>299.76333333333332</v>
      </c>
      <c r="T119" s="108">
        <f t="shared" si="93"/>
        <v>297.73333333333335</v>
      </c>
      <c r="U119" s="108">
        <f t="shared" si="93"/>
        <v>297.73333333333335</v>
      </c>
      <c r="V119" s="108">
        <f t="shared" si="93"/>
        <v>297.73333333333335</v>
      </c>
      <c r="W119" s="108">
        <f t="shared" si="93"/>
        <v>297.73333333333335</v>
      </c>
      <c r="X119" s="108">
        <f t="shared" si="93"/>
        <v>297.73333333333335</v>
      </c>
      <c r="Y119" s="108">
        <f t="shared" si="93"/>
        <v>312.62000000000006</v>
      </c>
      <c r="Z119" s="108">
        <f t="shared" si="93"/>
        <v>312.62000000000006</v>
      </c>
      <c r="AA119" s="108">
        <f t="shared" si="93"/>
        <v>312.62000000000006</v>
      </c>
      <c r="AB119" s="108">
        <f t="shared" si="93"/>
        <v>312.62000000000006</v>
      </c>
      <c r="AC119" s="108">
        <f t="shared" si="93"/>
        <v>312.62000000000006</v>
      </c>
      <c r="AD119" s="108">
        <f t="shared" si="93"/>
        <v>312.62000000000006</v>
      </c>
      <c r="AE119" s="108">
        <f t="shared" si="93"/>
        <v>312.62000000000006</v>
      </c>
      <c r="AF119" s="108">
        <f t="shared" si="93"/>
        <v>312.62000000000006</v>
      </c>
      <c r="AG119" s="108">
        <f t="shared" si="93"/>
        <v>312.62000000000006</v>
      </c>
      <c r="AH119" s="108">
        <f t="shared" si="93"/>
        <v>312.62000000000006</v>
      </c>
      <c r="AJ119" s="22" cm="1">
        <f t="array" aca="1" ref="AJ119" ca="1">SUMPRODUCT(($E119:$AH119)*(AJ$3&amp;AJ$4&amp;AJ$5&amp;AJ$6=$E$3:$AH$3&amp;$E$4:$AH$4&amp;$E$5:$AH$5&amp;$E$6:$AH$6))</f>
        <v>812</v>
      </c>
      <c r="AK119" s="22" cm="1">
        <f t="array" aca="1" ref="AK119" ca="1">SUMPRODUCT(($E119:$AH119)*(AK$3=$E$3:$AH$3)*(AK$4=$E$4:$AH$4)*(AK$5=$E$5:$AH$5)*(AK$6=$E$6:$AH$6))</f>
        <v>812</v>
      </c>
      <c r="AL119" s="22" cm="1">
        <f t="array" aca="1" ref="AL119" ca="1">SUMPRODUCT(($E119:$AH119)*(AL$3=$E$3:$AH$3)*(AL$4=$E$4:$AH$4)*(AL$5=$E$5:$AH$5)*(AL$6=$E$6:$AH$6))</f>
        <v>812</v>
      </c>
      <c r="AM119" s="23" cm="1">
        <f t="array" aca="1" ref="AM119" ca="1">SUMPRODUCT(($E119:$AH119)*(AM$3=$E$3:$AH$3)*(AM$4=$E$4:$AH$4)*(AM$5=$E$5:$AH$5)*(AM$6=$E$6:$AH$6))</f>
        <v>812</v>
      </c>
      <c r="AN119" s="22" cm="1">
        <f t="array" aca="1" ref="AN119" ca="1">SUMPRODUCT(($E119:$AH119)*(AN$3=$E$3:$AH$3)*(AN$4=$E$4:$AH$4)*(AN$5=$E$5:$AH$5)*(AN$6=$E$6:$AH$6))</f>
        <v>861.39666666666665</v>
      </c>
      <c r="AO119" s="22" cm="1">
        <f t="array" aca="1" ref="AO119" ca="1">SUMPRODUCT(($E119:$AH119)*(AO$3=$E$3:$AH$3)*(AO$4=$E$4:$AH$4)*(AO$5=$E$5:$AH$5)*(AO$6=$E$6:$AH$6))</f>
        <v>893.2</v>
      </c>
      <c r="AP119" s="22" cm="1">
        <f t="array" aca="1" ref="AP119" ca="1">SUMPRODUCT(($E119:$AH119)*(AP$3=$E$3:$AH$3)*(AP$4=$E$4:$AH$4)*(AP$5=$E$5:$AH$5)*(AP$6=$E$6:$AH$6))</f>
        <v>908.08666666666682</v>
      </c>
      <c r="AQ119" s="22" cm="1">
        <f t="array" aca="1" ref="AQ119" ca="1">SUMPRODUCT(($E119:$AH119)*(AQ$3=$E$3:$AH$3)*(AQ$4=$E$4:$AH$4)*(AQ$5=$E$5:$AH$5)*(AQ$6=$E$6:$AH$6))</f>
        <v>937.86000000000013</v>
      </c>
      <c r="AR119" s="22" cm="1">
        <f t="array" aca="1" ref="AR119" ca="1">SUMPRODUCT(($E119:$AH119)*(AR$3=$E$3:$AH$3)*(AR$4=$E$4:$AH$4)*(AR$5=$E$5:$AH$5)*(AR$6=$E$6:$AH$6))</f>
        <v>937.86000000000013</v>
      </c>
      <c r="AS119" s="22" cm="1">
        <f t="array" aca="1" ref="AS119" ca="1">SUMPRODUCT(($E119:$AH119)*(AS$3=$E$3:$AH$3)*(AS$4=$E$4:$AH$4)*(AS$5=$E$5:$AH$5)*(AS$6=$E$6:$AH$6))</f>
        <v>937.86000000000013</v>
      </c>
      <c r="AT119" s="22"/>
      <c r="AU119" s="22" cm="1">
        <f t="array" aca="1" ref="AU119" ca="1">SUMPRODUCT(($E119:$AH119)*(AU$5=$E$5:$AH$5))</f>
        <v>1624.0000000000002</v>
      </c>
      <c r="AV119" s="22" cm="1">
        <f t="array" aca="1" ref="AV119" ca="1">SUMPRODUCT(($E119:$AH119)*(AV$5=$E$5:$AH$5))</f>
        <v>3378.5966666666673</v>
      </c>
      <c r="AW119" s="22" cm="1">
        <f t="array" aca="1" ref="AW119" ca="1">SUMPRODUCT(($E119:$AH119)*(AW$5=$E$5:$AH$5))</f>
        <v>3721.6666666666665</v>
      </c>
    </row>
    <row r="120" spans="2:49" x14ac:dyDescent="0.2">
      <c r="C120" s="20" t="s">
        <v>91</v>
      </c>
      <c r="D120" s="20"/>
      <c r="E120" s="66">
        <v>12.5</v>
      </c>
      <c r="F120" s="66">
        <v>12.5</v>
      </c>
      <c r="G120" s="66">
        <v>12.5</v>
      </c>
      <c r="H120" s="66">
        <v>12.5</v>
      </c>
      <c r="I120" s="66">
        <v>12.5</v>
      </c>
      <c r="J120" s="66">
        <v>12.5</v>
      </c>
      <c r="K120" s="66">
        <v>12.5</v>
      </c>
      <c r="L120" s="66">
        <v>12.5</v>
      </c>
      <c r="M120" s="66">
        <v>12.5</v>
      </c>
      <c r="N120" s="66">
        <v>12.5</v>
      </c>
      <c r="O120" s="66">
        <v>12.5</v>
      </c>
      <c r="P120" s="42">
        <v>12.5</v>
      </c>
      <c r="Q120" s="108">
        <f t="shared" ref="Q120:AH121" si="94">Q110*Q104/12/1000000</f>
        <v>12.5</v>
      </c>
      <c r="R120" s="108">
        <f t="shared" si="94"/>
        <v>13.125</v>
      </c>
      <c r="S120" s="108">
        <f t="shared" si="94"/>
        <v>13.125</v>
      </c>
      <c r="T120" s="108">
        <f t="shared" si="94"/>
        <v>13.125</v>
      </c>
      <c r="U120" s="108">
        <f t="shared" si="94"/>
        <v>13.125</v>
      </c>
      <c r="V120" s="108">
        <f t="shared" si="94"/>
        <v>13.125</v>
      </c>
      <c r="W120" s="108">
        <f t="shared" si="94"/>
        <v>13.125</v>
      </c>
      <c r="X120" s="108">
        <f t="shared" si="94"/>
        <v>13.125</v>
      </c>
      <c r="Y120" s="108">
        <f t="shared" si="94"/>
        <v>13.518750000000001</v>
      </c>
      <c r="Z120" s="108">
        <f t="shared" si="94"/>
        <v>13.518750000000001</v>
      </c>
      <c r="AA120" s="108">
        <f t="shared" si="94"/>
        <v>13.518750000000001</v>
      </c>
      <c r="AB120" s="108">
        <f t="shared" si="94"/>
        <v>13.518750000000001</v>
      </c>
      <c r="AC120" s="108">
        <f t="shared" si="94"/>
        <v>13.518750000000001</v>
      </c>
      <c r="AD120" s="108">
        <f t="shared" si="94"/>
        <v>13.518750000000001</v>
      </c>
      <c r="AE120" s="108">
        <f t="shared" si="94"/>
        <v>13.518750000000001</v>
      </c>
      <c r="AF120" s="108">
        <f t="shared" si="94"/>
        <v>13.518750000000001</v>
      </c>
      <c r="AG120" s="108">
        <f t="shared" si="94"/>
        <v>13.518750000000001</v>
      </c>
      <c r="AH120" s="108">
        <f t="shared" si="94"/>
        <v>13.518750000000001</v>
      </c>
      <c r="AJ120" s="22" cm="1">
        <f t="array" aca="1" ref="AJ120" ca="1">SUMPRODUCT(($E120:$AH120)*(AJ$3&amp;AJ$4&amp;AJ$5&amp;AJ$6=$E$3:$AH$3&amp;$E$4:$AH$4&amp;$E$5:$AH$5&amp;$E$6:$AH$6))</f>
        <v>37.5</v>
      </c>
      <c r="AK120" s="22" cm="1">
        <f t="array" aca="1" ref="AK120" ca="1">SUMPRODUCT(($E120:$AH120)*(AK$3=$E$3:$AH$3)*(AK$4=$E$4:$AH$4)*(AK$5=$E$5:$AH$5)*(AK$6=$E$6:$AH$6))</f>
        <v>37.5</v>
      </c>
      <c r="AL120" s="22" cm="1">
        <f t="array" aca="1" ref="AL120" ca="1">SUMPRODUCT(($E120:$AH120)*(AL$3=$E$3:$AH$3)*(AL$4=$E$4:$AH$4)*(AL$5=$E$5:$AH$5)*(AL$6=$E$6:$AH$6))</f>
        <v>37.5</v>
      </c>
      <c r="AM120" s="23" cm="1">
        <f t="array" aca="1" ref="AM120" ca="1">SUMPRODUCT(($E120:$AH120)*(AM$3=$E$3:$AH$3)*(AM$4=$E$4:$AH$4)*(AM$5=$E$5:$AH$5)*(AM$6=$E$6:$AH$6))</f>
        <v>37.5</v>
      </c>
      <c r="AN120" s="22" cm="1">
        <f t="array" aca="1" ref="AN120" ca="1">SUMPRODUCT(($E120:$AH120)*(AN$3=$E$3:$AH$3)*(AN$4=$E$4:$AH$4)*(AN$5=$E$5:$AH$5)*(AN$6=$E$6:$AH$6))</f>
        <v>38.75</v>
      </c>
      <c r="AO120" s="22" cm="1">
        <f t="array" aca="1" ref="AO120" ca="1">SUMPRODUCT(($E120:$AH120)*(AO$3=$E$3:$AH$3)*(AO$4=$E$4:$AH$4)*(AO$5=$E$5:$AH$5)*(AO$6=$E$6:$AH$6))</f>
        <v>39.375</v>
      </c>
      <c r="AP120" s="22" cm="1">
        <f t="array" aca="1" ref="AP120" ca="1">SUMPRODUCT(($E120:$AH120)*(AP$3=$E$3:$AH$3)*(AP$4=$E$4:$AH$4)*(AP$5=$E$5:$AH$5)*(AP$6=$E$6:$AH$6))</f>
        <v>39.768749999999997</v>
      </c>
      <c r="AQ120" s="22" cm="1">
        <f t="array" aca="1" ref="AQ120" ca="1">SUMPRODUCT(($E120:$AH120)*(AQ$3=$E$3:$AH$3)*(AQ$4=$E$4:$AH$4)*(AQ$5=$E$5:$AH$5)*(AQ$6=$E$6:$AH$6))</f>
        <v>40.556250000000006</v>
      </c>
      <c r="AR120" s="22" cm="1">
        <f t="array" aca="1" ref="AR120" ca="1">SUMPRODUCT(($E120:$AH120)*(AR$3=$E$3:$AH$3)*(AR$4=$E$4:$AH$4)*(AR$5=$E$5:$AH$5)*(AR$6=$E$6:$AH$6))</f>
        <v>40.556250000000006</v>
      </c>
      <c r="AS120" s="22" cm="1">
        <f t="array" aca="1" ref="AS120" ca="1">SUMPRODUCT(($E120:$AH120)*(AS$3=$E$3:$AH$3)*(AS$4=$E$4:$AH$4)*(AS$5=$E$5:$AH$5)*(AS$6=$E$6:$AH$6))</f>
        <v>40.556250000000006</v>
      </c>
      <c r="AT120" s="22"/>
      <c r="AU120" s="22" cm="1">
        <f t="array" aca="1" ref="AU120" ca="1">SUMPRODUCT(($E120:$AH120)*(AU$5=$E$5:$AH$5))</f>
        <v>75</v>
      </c>
      <c r="AV120" s="22" cm="1">
        <f t="array" aca="1" ref="AV120" ca="1">SUMPRODUCT(($E120:$AH120)*(AV$5=$E$5:$AH$5))</f>
        <v>153.125</v>
      </c>
      <c r="AW120" s="22" cm="1">
        <f t="array" aca="1" ref="AW120" ca="1">SUMPRODUCT(($E120:$AH120)*(AW$5=$E$5:$AH$5))</f>
        <v>161.4375</v>
      </c>
    </row>
    <row r="121" spans="2:49" x14ac:dyDescent="0.2">
      <c r="C121" s="20" t="s">
        <v>92</v>
      </c>
      <c r="D121" s="20"/>
      <c r="E121" s="66">
        <v>7.083333333333333</v>
      </c>
      <c r="F121" s="66">
        <v>7.083333333333333</v>
      </c>
      <c r="G121" s="66">
        <v>7.083333333333333</v>
      </c>
      <c r="H121" s="66">
        <v>7.083333333333333</v>
      </c>
      <c r="I121" s="66">
        <v>7.083333333333333</v>
      </c>
      <c r="J121" s="66">
        <v>7.083333333333333</v>
      </c>
      <c r="K121" s="66">
        <v>7.083333333333333</v>
      </c>
      <c r="L121" s="66">
        <v>7.083333333333333</v>
      </c>
      <c r="M121" s="66">
        <v>7.083333333333333</v>
      </c>
      <c r="N121" s="66">
        <v>7.083333333333333</v>
      </c>
      <c r="O121" s="66">
        <v>7.083333333333333</v>
      </c>
      <c r="P121" s="46">
        <v>7.083333333333333</v>
      </c>
      <c r="Q121" s="108">
        <f t="shared" si="94"/>
        <v>7.083333333333333</v>
      </c>
      <c r="R121" s="108">
        <f t="shared" si="94"/>
        <v>7.083333333333333</v>
      </c>
      <c r="S121" s="108">
        <f t="shared" si="94"/>
        <v>7.083333333333333</v>
      </c>
      <c r="T121" s="108">
        <f t="shared" si="94"/>
        <v>7.083333333333333</v>
      </c>
      <c r="U121" s="108">
        <f t="shared" si="94"/>
        <v>7.083333333333333</v>
      </c>
      <c r="V121" s="108">
        <f t="shared" si="94"/>
        <v>7.083333333333333</v>
      </c>
      <c r="W121" s="108">
        <f t="shared" si="94"/>
        <v>7.083333333333333</v>
      </c>
      <c r="X121" s="108">
        <f t="shared" si="94"/>
        <v>7.083333333333333</v>
      </c>
      <c r="Y121" s="108">
        <f t="shared" si="94"/>
        <v>7.083333333333333</v>
      </c>
      <c r="Z121" s="108">
        <f t="shared" si="94"/>
        <v>7.083333333333333</v>
      </c>
      <c r="AA121" s="108">
        <f t="shared" si="94"/>
        <v>7.083333333333333</v>
      </c>
      <c r="AB121" s="108">
        <f t="shared" si="94"/>
        <v>7.083333333333333</v>
      </c>
      <c r="AC121" s="108">
        <f t="shared" si="94"/>
        <v>7.083333333333333</v>
      </c>
      <c r="AD121" s="108">
        <f t="shared" si="94"/>
        <v>7.083333333333333</v>
      </c>
      <c r="AE121" s="108">
        <f t="shared" si="94"/>
        <v>7.083333333333333</v>
      </c>
      <c r="AF121" s="108">
        <f t="shared" si="94"/>
        <v>7.083333333333333</v>
      </c>
      <c r="AG121" s="108">
        <f t="shared" si="94"/>
        <v>7.083333333333333</v>
      </c>
      <c r="AH121" s="108">
        <f t="shared" si="94"/>
        <v>7.083333333333333</v>
      </c>
      <c r="AJ121" s="64" cm="1">
        <f t="array" aca="1" ref="AJ121" ca="1">SUMPRODUCT(($E121:$AH121)*(AJ$3&amp;AJ$4&amp;AJ$5&amp;AJ$6=$E$3:$AH$3&amp;$E$4:$AH$4&amp;$E$5:$AH$5&amp;$E$6:$AH$6))</f>
        <v>21.25</v>
      </c>
      <c r="AK121" s="64" cm="1">
        <f t="array" aca="1" ref="AK121" ca="1">SUMPRODUCT(($E121:$AH121)*(AK$3=$E$3:$AH$3)*(AK$4=$E$4:$AH$4)*(AK$5=$E$5:$AH$5)*(AK$6=$E$6:$AH$6))</f>
        <v>21.25</v>
      </c>
      <c r="AL121" s="64" cm="1">
        <f t="array" aca="1" ref="AL121" ca="1">SUMPRODUCT(($E121:$AH121)*(AL$3=$E$3:$AH$3)*(AL$4=$E$4:$AH$4)*(AL$5=$E$5:$AH$5)*(AL$6=$E$6:$AH$6))</f>
        <v>21.25</v>
      </c>
      <c r="AM121" s="23" cm="1">
        <f t="array" aca="1" ref="AM121" ca="1">SUMPRODUCT(($E121:$AH121)*(AM$3=$E$3:$AH$3)*(AM$4=$E$4:$AH$4)*(AM$5=$E$5:$AH$5)*(AM$6=$E$6:$AH$6))</f>
        <v>21.25</v>
      </c>
      <c r="AN121" s="64" cm="1">
        <f t="array" aca="1" ref="AN121" ca="1">SUMPRODUCT(($E121:$AH121)*(AN$3=$E$3:$AH$3)*(AN$4=$E$4:$AH$4)*(AN$5=$E$5:$AH$5)*(AN$6=$E$6:$AH$6))</f>
        <v>21.25</v>
      </c>
      <c r="AO121" s="64" cm="1">
        <f t="array" aca="1" ref="AO121" ca="1">SUMPRODUCT(($E121:$AH121)*(AO$3=$E$3:$AH$3)*(AO$4=$E$4:$AH$4)*(AO$5=$E$5:$AH$5)*(AO$6=$E$6:$AH$6))</f>
        <v>21.25</v>
      </c>
      <c r="AP121" s="64" cm="1">
        <f t="array" aca="1" ref="AP121" ca="1">SUMPRODUCT(($E121:$AH121)*(AP$3=$E$3:$AH$3)*(AP$4=$E$4:$AH$4)*(AP$5=$E$5:$AH$5)*(AP$6=$E$6:$AH$6))</f>
        <v>21.25</v>
      </c>
      <c r="AQ121" s="64" cm="1">
        <f t="array" aca="1" ref="AQ121" ca="1">SUMPRODUCT(($E121:$AH121)*(AQ$3=$E$3:$AH$3)*(AQ$4=$E$4:$AH$4)*(AQ$5=$E$5:$AH$5)*(AQ$6=$E$6:$AH$6))</f>
        <v>21.25</v>
      </c>
      <c r="AR121" s="64" cm="1">
        <f t="array" aca="1" ref="AR121" ca="1">SUMPRODUCT(($E121:$AH121)*(AR$3=$E$3:$AH$3)*(AR$4=$E$4:$AH$4)*(AR$5=$E$5:$AH$5)*(AR$6=$E$6:$AH$6))</f>
        <v>21.25</v>
      </c>
      <c r="AS121" s="64" cm="1">
        <f t="array" aca="1" ref="AS121" ca="1">SUMPRODUCT(($E121:$AH121)*(AS$3=$E$3:$AH$3)*(AS$4=$E$4:$AH$4)*(AS$5=$E$5:$AH$5)*(AS$6=$E$6:$AH$6))</f>
        <v>21.25</v>
      </c>
      <c r="AT121" s="64"/>
      <c r="AU121" s="64" cm="1">
        <f t="array" aca="1" ref="AU121" ca="1">SUMPRODUCT(($E121:$AH121)*(AU$5=$E$5:$AH$5))</f>
        <v>42.5</v>
      </c>
      <c r="AV121" s="64" cm="1">
        <f t="array" aca="1" ref="AV121" ca="1">SUMPRODUCT(($E121:$AH121)*(AV$5=$E$5:$AH$5))</f>
        <v>85</v>
      </c>
      <c r="AW121" s="64" cm="1">
        <f t="array" aca="1" ref="AW121" ca="1">SUMPRODUCT(($E121:$AH121)*(AW$5=$E$5:$AH$5))</f>
        <v>85</v>
      </c>
    </row>
    <row r="122" spans="2:49" ht="16" thickBot="1" x14ac:dyDescent="0.25">
      <c r="B122" t="s">
        <v>12</v>
      </c>
      <c r="C122" s="54" t="s">
        <v>97</v>
      </c>
      <c r="D122" s="54"/>
      <c r="E122" s="109">
        <f>SUM(E119:E121)</f>
        <v>290.25</v>
      </c>
      <c r="F122" s="109">
        <f t="shared" ref="F122:P122" si="95">SUM(F119:F121)</f>
        <v>290.25</v>
      </c>
      <c r="G122" s="109">
        <f t="shared" si="95"/>
        <v>290.25</v>
      </c>
      <c r="H122" s="109">
        <f t="shared" si="95"/>
        <v>290.25</v>
      </c>
      <c r="I122" s="109">
        <f t="shared" si="95"/>
        <v>290.25</v>
      </c>
      <c r="J122" s="109">
        <f t="shared" si="95"/>
        <v>290.25</v>
      </c>
      <c r="K122" s="109">
        <f t="shared" si="95"/>
        <v>290.25</v>
      </c>
      <c r="L122" s="109">
        <f t="shared" si="95"/>
        <v>290.25</v>
      </c>
      <c r="M122" s="109">
        <f t="shared" si="95"/>
        <v>290.25</v>
      </c>
      <c r="N122" s="109">
        <f t="shared" si="95"/>
        <v>290.25</v>
      </c>
      <c r="O122" s="109">
        <f t="shared" si="95"/>
        <v>290.25</v>
      </c>
      <c r="P122" s="109">
        <f t="shared" si="95"/>
        <v>290.25</v>
      </c>
      <c r="Q122" s="109">
        <f>SUM(Q119:Q121)</f>
        <v>297.01666666666665</v>
      </c>
      <c r="R122" s="109">
        <f t="shared" ref="R122:AW122" si="96">SUM(R119:R121)</f>
        <v>304.4083333333333</v>
      </c>
      <c r="S122" s="109">
        <f t="shared" si="96"/>
        <v>319.97166666666664</v>
      </c>
      <c r="T122" s="109">
        <f t="shared" si="96"/>
        <v>317.94166666666666</v>
      </c>
      <c r="U122" s="109">
        <f t="shared" si="96"/>
        <v>317.94166666666666</v>
      </c>
      <c r="V122" s="109">
        <f t="shared" si="96"/>
        <v>317.94166666666666</v>
      </c>
      <c r="W122" s="109">
        <f t="shared" si="96"/>
        <v>317.94166666666666</v>
      </c>
      <c r="X122" s="109">
        <f t="shared" si="96"/>
        <v>317.94166666666666</v>
      </c>
      <c r="Y122" s="109">
        <f t="shared" si="96"/>
        <v>333.22208333333339</v>
      </c>
      <c r="Z122" s="109">
        <f t="shared" si="96"/>
        <v>333.22208333333339</v>
      </c>
      <c r="AA122" s="109">
        <f t="shared" si="96"/>
        <v>333.22208333333339</v>
      </c>
      <c r="AB122" s="109">
        <f t="shared" si="96"/>
        <v>333.22208333333339</v>
      </c>
      <c r="AC122" s="109">
        <f t="shared" si="96"/>
        <v>333.22208333333339</v>
      </c>
      <c r="AD122" s="109">
        <f t="shared" si="96"/>
        <v>333.22208333333339</v>
      </c>
      <c r="AE122" s="109">
        <f t="shared" si="96"/>
        <v>333.22208333333339</v>
      </c>
      <c r="AF122" s="109">
        <f t="shared" si="96"/>
        <v>333.22208333333339</v>
      </c>
      <c r="AG122" s="109">
        <f t="shared" si="96"/>
        <v>333.22208333333339</v>
      </c>
      <c r="AH122" s="109">
        <f t="shared" si="96"/>
        <v>333.22208333333339</v>
      </c>
      <c r="AI122" s="109">
        <f t="shared" si="96"/>
        <v>0</v>
      </c>
      <c r="AJ122" s="109">
        <f t="shared" ca="1" si="96"/>
        <v>870.75</v>
      </c>
      <c r="AK122" s="109">
        <f t="shared" ca="1" si="96"/>
        <v>870.75</v>
      </c>
      <c r="AL122" s="109">
        <f t="shared" ca="1" si="96"/>
        <v>870.75</v>
      </c>
      <c r="AM122" s="110">
        <f t="shared" ca="1" si="96"/>
        <v>870.75</v>
      </c>
      <c r="AN122" s="109">
        <f t="shared" ca="1" si="96"/>
        <v>921.39666666666665</v>
      </c>
      <c r="AO122" s="109">
        <f t="shared" ca="1" si="96"/>
        <v>953.82500000000005</v>
      </c>
      <c r="AP122" s="109">
        <f t="shared" ca="1" si="96"/>
        <v>969.10541666666677</v>
      </c>
      <c r="AQ122" s="109">
        <f t="shared" ca="1" si="96"/>
        <v>999.6662500000001</v>
      </c>
      <c r="AR122" s="109">
        <f t="shared" ca="1" si="96"/>
        <v>999.6662500000001</v>
      </c>
      <c r="AS122" s="109">
        <f t="shared" ca="1" si="96"/>
        <v>999.6662500000001</v>
      </c>
      <c r="AT122" s="109">
        <f t="shared" si="96"/>
        <v>0</v>
      </c>
      <c r="AU122" s="109">
        <f t="shared" ca="1" si="96"/>
        <v>1741.5000000000002</v>
      </c>
      <c r="AV122" s="109">
        <f t="shared" ca="1" si="96"/>
        <v>3616.7216666666673</v>
      </c>
      <c r="AW122" s="109">
        <f t="shared" ca="1" si="96"/>
        <v>3968.1041666666665</v>
      </c>
    </row>
    <row r="123" spans="2:49" ht="16" thickTop="1" x14ac:dyDescent="0.2">
      <c r="C123" s="99"/>
      <c r="D123" s="99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AM123" s="112"/>
    </row>
    <row r="124" spans="2:49" x14ac:dyDescent="0.2">
      <c r="C124" s="17" t="s">
        <v>98</v>
      </c>
      <c r="D124" s="17"/>
      <c r="E124" s="18" t="str">
        <f t="shared" ref="E124:AH124" si="97">E$9</f>
        <v>Jul-20A</v>
      </c>
      <c r="F124" s="18" t="str">
        <f t="shared" si="97"/>
        <v>Aug-20A</v>
      </c>
      <c r="G124" s="18" t="str">
        <f t="shared" si="97"/>
        <v>Sep-20A</v>
      </c>
      <c r="H124" s="18" t="str">
        <f t="shared" si="97"/>
        <v>Oct-20A</v>
      </c>
      <c r="I124" s="18" t="str">
        <f t="shared" si="97"/>
        <v>Nov-20A</v>
      </c>
      <c r="J124" s="18" t="str">
        <f t="shared" si="97"/>
        <v>Dec-20A</v>
      </c>
      <c r="K124" s="18" t="str">
        <f t="shared" si="97"/>
        <v>Jan-21A</v>
      </c>
      <c r="L124" s="18" t="str">
        <f t="shared" si="97"/>
        <v>Feb-21A</v>
      </c>
      <c r="M124" s="18" t="str">
        <f t="shared" si="97"/>
        <v>Mar-21A</v>
      </c>
      <c r="N124" s="18" t="str">
        <f t="shared" si="97"/>
        <v>Apr-21A</v>
      </c>
      <c r="O124" s="18" t="str">
        <f t="shared" si="97"/>
        <v>May-21A</v>
      </c>
      <c r="P124" s="19" t="str">
        <f t="shared" si="97"/>
        <v>Jun-21A</v>
      </c>
      <c r="Q124" s="18" t="str">
        <f t="shared" si="97"/>
        <v>Jul-21F</v>
      </c>
      <c r="R124" s="18" t="str">
        <f t="shared" si="97"/>
        <v>Aug-21F</v>
      </c>
      <c r="S124" s="18" t="str">
        <f t="shared" si="97"/>
        <v>Sep-21F</v>
      </c>
      <c r="T124" s="18" t="str">
        <f t="shared" si="97"/>
        <v>Oct-21F</v>
      </c>
      <c r="U124" s="18" t="str">
        <f t="shared" si="97"/>
        <v>Nov-21F</v>
      </c>
      <c r="V124" s="18" t="str">
        <f t="shared" si="97"/>
        <v>Dec-21F</v>
      </c>
      <c r="W124" s="18" t="str">
        <f t="shared" si="97"/>
        <v>Jan-22F</v>
      </c>
      <c r="X124" s="18" t="str">
        <f t="shared" si="97"/>
        <v>Feb-22F</v>
      </c>
      <c r="Y124" s="18" t="str">
        <f t="shared" si="97"/>
        <v>Mar-22F</v>
      </c>
      <c r="Z124" s="18" t="str">
        <f t="shared" si="97"/>
        <v>Apr-22F</v>
      </c>
      <c r="AA124" s="18" t="str">
        <f t="shared" si="97"/>
        <v>May-22F</v>
      </c>
      <c r="AB124" s="18" t="str">
        <f t="shared" si="97"/>
        <v>Jun-22F</v>
      </c>
      <c r="AC124" s="18" t="str">
        <f t="shared" si="97"/>
        <v>Jul-22F</v>
      </c>
      <c r="AD124" s="18" t="str">
        <f t="shared" si="97"/>
        <v>Aug-22F</v>
      </c>
      <c r="AE124" s="18" t="str">
        <f t="shared" si="97"/>
        <v>Sep-22F</v>
      </c>
      <c r="AF124" s="18" t="str">
        <f t="shared" si="97"/>
        <v>Oct-22F</v>
      </c>
      <c r="AG124" s="18" t="str">
        <f t="shared" si="97"/>
        <v>Nov-22F</v>
      </c>
      <c r="AH124" s="18" t="str">
        <f t="shared" si="97"/>
        <v>Dec-22F</v>
      </c>
      <c r="AJ124" s="18" t="str">
        <f ca="1">AJ$10</f>
        <v>Q3'20A</v>
      </c>
      <c r="AK124" s="18" t="str">
        <f t="shared" ref="AK124:AW124" ca="1" si="98">AK$10</f>
        <v>Q4'20A</v>
      </c>
      <c r="AL124" s="18" t="str">
        <f t="shared" ca="1" si="98"/>
        <v>Q1'21A</v>
      </c>
      <c r="AM124" s="19" t="str">
        <f t="shared" ca="1" si="98"/>
        <v>Q2'21A</v>
      </c>
      <c r="AN124" s="18" t="str">
        <f t="shared" ca="1" si="98"/>
        <v>Q3'21F</v>
      </c>
      <c r="AO124" s="18" t="str">
        <f t="shared" ca="1" si="98"/>
        <v>Q4'21F</v>
      </c>
      <c r="AP124" s="18" t="str">
        <f t="shared" ca="1" si="98"/>
        <v>Q1'22F</v>
      </c>
      <c r="AQ124" s="18" t="str">
        <f t="shared" ca="1" si="98"/>
        <v>Q2'22F</v>
      </c>
      <c r="AR124" s="18" t="str">
        <f t="shared" ca="1" si="98"/>
        <v>Q3'22F</v>
      </c>
      <c r="AS124" s="18" t="str">
        <f t="shared" ca="1" si="98"/>
        <v>Q4'22F</v>
      </c>
      <c r="AU124" s="18" t="str">
        <f t="shared" ca="1" si="98"/>
        <v>FY20</v>
      </c>
      <c r="AV124" s="18" t="str">
        <f t="shared" ca="1" si="98"/>
        <v>FY21</v>
      </c>
      <c r="AW124" s="18" t="str">
        <f t="shared" ca="1" si="98"/>
        <v>FY22</v>
      </c>
    </row>
    <row r="125" spans="2:49" x14ac:dyDescent="0.2">
      <c r="C125" s="20" t="s">
        <v>99</v>
      </c>
      <c r="E125" s="113"/>
      <c r="F125" s="22">
        <f>E122*12</f>
        <v>3483</v>
      </c>
      <c r="G125" s="22">
        <f t="shared" ref="G125:AH125" si="99">F122*12</f>
        <v>3483</v>
      </c>
      <c r="H125" s="22">
        <f t="shared" si="99"/>
        <v>3483</v>
      </c>
      <c r="I125" s="22">
        <f t="shared" si="99"/>
        <v>3483</v>
      </c>
      <c r="J125" s="22">
        <f t="shared" si="99"/>
        <v>3483</v>
      </c>
      <c r="K125" s="22">
        <f t="shared" si="99"/>
        <v>3483</v>
      </c>
      <c r="L125" s="22">
        <f t="shared" si="99"/>
        <v>3483</v>
      </c>
      <c r="M125" s="22">
        <f t="shared" si="99"/>
        <v>3483</v>
      </c>
      <c r="N125" s="22">
        <f t="shared" si="99"/>
        <v>3483</v>
      </c>
      <c r="O125" s="22">
        <f t="shared" si="99"/>
        <v>3483</v>
      </c>
      <c r="P125" s="22">
        <f t="shared" si="99"/>
        <v>3483</v>
      </c>
      <c r="Q125" s="22">
        <f t="shared" si="99"/>
        <v>3483</v>
      </c>
      <c r="R125" s="22">
        <f t="shared" si="99"/>
        <v>3564.2</v>
      </c>
      <c r="S125" s="22">
        <f t="shared" si="99"/>
        <v>3652.8999999999996</v>
      </c>
      <c r="T125" s="22">
        <f t="shared" si="99"/>
        <v>3839.66</v>
      </c>
      <c r="U125" s="22">
        <f t="shared" si="99"/>
        <v>3815.3</v>
      </c>
      <c r="V125" s="22">
        <f t="shared" si="99"/>
        <v>3815.3</v>
      </c>
      <c r="W125" s="22">
        <f t="shared" si="99"/>
        <v>3815.3</v>
      </c>
      <c r="X125" s="22">
        <f t="shared" si="99"/>
        <v>3815.3</v>
      </c>
      <c r="Y125" s="22">
        <f t="shared" si="99"/>
        <v>3815.3</v>
      </c>
      <c r="Z125" s="22">
        <f t="shared" si="99"/>
        <v>3998.6650000000009</v>
      </c>
      <c r="AA125" s="22">
        <f t="shared" si="99"/>
        <v>3998.6650000000009</v>
      </c>
      <c r="AB125" s="22">
        <f t="shared" si="99"/>
        <v>3998.6650000000009</v>
      </c>
      <c r="AC125" s="22">
        <f t="shared" si="99"/>
        <v>3998.6650000000009</v>
      </c>
      <c r="AD125" s="22">
        <f t="shared" si="99"/>
        <v>3998.6650000000009</v>
      </c>
      <c r="AE125" s="22">
        <f t="shared" si="99"/>
        <v>3998.6650000000009</v>
      </c>
      <c r="AF125" s="22">
        <f t="shared" si="99"/>
        <v>3998.6650000000009</v>
      </c>
      <c r="AG125" s="22">
        <f t="shared" si="99"/>
        <v>3998.6650000000009</v>
      </c>
      <c r="AH125" s="22">
        <f t="shared" si="99"/>
        <v>3998.6650000000009</v>
      </c>
      <c r="AM125" s="91"/>
    </row>
    <row r="126" spans="2:49" x14ac:dyDescent="0.2">
      <c r="C126" s="25" t="s">
        <v>100</v>
      </c>
      <c r="D126" s="32"/>
      <c r="E126" s="114"/>
      <c r="F126" s="81"/>
      <c r="G126" s="81"/>
      <c r="H126" s="81"/>
      <c r="I126" s="81"/>
      <c r="J126" s="81"/>
      <c r="K126" s="81"/>
      <c r="L126" s="81"/>
      <c r="M126" s="81">
        <f>M127/M125</f>
        <v>0.11190353143841515</v>
      </c>
      <c r="N126" s="81"/>
      <c r="O126" s="81"/>
      <c r="P126" s="115"/>
      <c r="Q126" s="62">
        <v>0</v>
      </c>
      <c r="R126" s="62">
        <v>0</v>
      </c>
      <c r="S126" s="62">
        <v>0</v>
      </c>
      <c r="T126" s="62">
        <v>0</v>
      </c>
      <c r="U126" s="62">
        <v>0</v>
      </c>
      <c r="V126" s="62">
        <v>0</v>
      </c>
      <c r="W126" s="62">
        <v>0</v>
      </c>
      <c r="X126" s="62">
        <v>0</v>
      </c>
      <c r="Y126" s="62">
        <v>0.105</v>
      </c>
      <c r="Z126" s="62">
        <v>0</v>
      </c>
      <c r="AA126" s="62">
        <v>0</v>
      </c>
      <c r="AB126" s="62">
        <v>0</v>
      </c>
      <c r="AC126" s="62">
        <v>0</v>
      </c>
      <c r="AD126" s="62">
        <v>0</v>
      </c>
      <c r="AE126" s="62">
        <v>0</v>
      </c>
      <c r="AF126" s="62">
        <v>0</v>
      </c>
      <c r="AG126" s="62">
        <v>0</v>
      </c>
      <c r="AH126" s="62">
        <v>0</v>
      </c>
      <c r="AJ126" s="32"/>
      <c r="AK126" s="32"/>
      <c r="AL126" s="32"/>
      <c r="AM126" s="63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</row>
    <row r="127" spans="2:49" x14ac:dyDescent="0.2">
      <c r="B127" t="s">
        <v>12</v>
      </c>
      <c r="C127" t="s">
        <v>101</v>
      </c>
      <c r="E127" s="66">
        <v>0</v>
      </c>
      <c r="F127" s="66">
        <v>0</v>
      </c>
      <c r="G127" s="66">
        <v>0</v>
      </c>
      <c r="H127" s="66">
        <v>0</v>
      </c>
      <c r="I127" s="66">
        <v>0</v>
      </c>
      <c r="J127" s="41">
        <v>0</v>
      </c>
      <c r="K127" s="66">
        <v>0</v>
      </c>
      <c r="L127" s="66">
        <v>0</v>
      </c>
      <c r="M127" s="66">
        <v>389.76</v>
      </c>
      <c r="N127" s="66">
        <v>0</v>
      </c>
      <c r="O127" s="66">
        <v>0</v>
      </c>
      <c r="P127" s="42">
        <v>0</v>
      </c>
      <c r="Q127" s="22"/>
      <c r="R127" s="22"/>
      <c r="S127" s="22"/>
      <c r="T127" s="22"/>
      <c r="U127" s="22"/>
      <c r="V127" s="22">
        <f>V125*V126</f>
        <v>0</v>
      </c>
      <c r="W127" s="22">
        <f t="shared" ref="W127:AH127" si="100">W125*W126</f>
        <v>0</v>
      </c>
      <c r="X127" s="22">
        <f t="shared" si="100"/>
        <v>0</v>
      </c>
      <c r="Y127" s="22">
        <f t="shared" si="100"/>
        <v>400.60649999999998</v>
      </c>
      <c r="Z127" s="22">
        <f t="shared" si="100"/>
        <v>0</v>
      </c>
      <c r="AA127" s="22">
        <f t="shared" si="100"/>
        <v>0</v>
      </c>
      <c r="AB127" s="22">
        <f t="shared" si="100"/>
        <v>0</v>
      </c>
      <c r="AC127" s="22">
        <f t="shared" si="100"/>
        <v>0</v>
      </c>
      <c r="AD127" s="22">
        <f t="shared" si="100"/>
        <v>0</v>
      </c>
      <c r="AE127" s="22">
        <f t="shared" si="100"/>
        <v>0</v>
      </c>
      <c r="AF127" s="22">
        <f t="shared" si="100"/>
        <v>0</v>
      </c>
      <c r="AG127" s="22">
        <f t="shared" si="100"/>
        <v>0</v>
      </c>
      <c r="AH127" s="22">
        <f t="shared" si="100"/>
        <v>0</v>
      </c>
      <c r="AJ127" s="22" cm="1">
        <f t="array" aca="1" ref="AJ127" ca="1">SUMPRODUCT(($E127:$AH127)*(AJ$3&amp;AJ$4&amp;AJ$5&amp;AJ$6=$E$3:$AH$3&amp;$E$4:$AH$4&amp;$E$5:$AH$5&amp;$E$6:$AH$6))</f>
        <v>0</v>
      </c>
      <c r="AK127" s="22" cm="1">
        <f t="array" aca="1" ref="AK127" ca="1">SUMPRODUCT(($E127:$AH127)*(AK$3=$E$3:$AH$3)*(AK$4=$E$4:$AH$4)*(AK$5=$E$5:$AH$5)*(AK$6=$E$6:$AH$6))</f>
        <v>0</v>
      </c>
      <c r="AL127" s="22" cm="1">
        <f t="array" aca="1" ref="AL127" ca="1">SUMPRODUCT(($E127:$AH127)*(AL$3=$E$3:$AH$3)*(AL$4=$E$4:$AH$4)*(AL$5=$E$5:$AH$5)*(AL$6=$E$6:$AH$6))</f>
        <v>389.76</v>
      </c>
      <c r="AM127" s="23" cm="1">
        <f t="array" aca="1" ref="AM127" ca="1">SUMPRODUCT(($E127:$AH127)*(AM$3=$E$3:$AH$3)*(AM$4=$E$4:$AH$4)*(AM$5=$E$5:$AH$5)*(AM$6=$E$6:$AH$6))</f>
        <v>0</v>
      </c>
      <c r="AN127" s="22" cm="1">
        <f t="array" aca="1" ref="AN127" ca="1">SUMPRODUCT(($E127:$AH127)*(AN$3=$E$3:$AH$3)*(AN$4=$E$4:$AH$4)*(AN$5=$E$5:$AH$5)*(AN$6=$E$6:$AH$6))</f>
        <v>0</v>
      </c>
      <c r="AO127" s="22" cm="1">
        <f t="array" aca="1" ref="AO127" ca="1">SUMPRODUCT(($E127:$AH127)*(AO$3=$E$3:$AH$3)*(AO$4=$E$4:$AH$4)*(AO$5=$E$5:$AH$5)*(AO$6=$E$6:$AH$6))</f>
        <v>0</v>
      </c>
      <c r="AP127" s="22" cm="1">
        <f t="array" aca="1" ref="AP127" ca="1">SUMPRODUCT(($E127:$AH127)*(AP$3=$E$3:$AH$3)*(AP$4=$E$4:$AH$4)*(AP$5=$E$5:$AH$5)*(AP$6=$E$6:$AH$6))</f>
        <v>400.60649999999998</v>
      </c>
      <c r="AQ127" s="22" cm="1">
        <f t="array" aca="1" ref="AQ127" ca="1">SUMPRODUCT(($E127:$AH127)*(AQ$3=$E$3:$AH$3)*(AQ$4=$E$4:$AH$4)*(AQ$5=$E$5:$AH$5)*(AQ$6=$E$6:$AH$6))</f>
        <v>0</v>
      </c>
      <c r="AR127" s="22" cm="1">
        <f t="array" aca="1" ref="AR127" ca="1">SUMPRODUCT(($E127:$AH127)*(AR$3=$E$3:$AH$3)*(AR$4=$E$4:$AH$4)*(AR$5=$E$5:$AH$5)*(AR$6=$E$6:$AH$6))</f>
        <v>0</v>
      </c>
      <c r="AS127" s="22" cm="1">
        <f t="array" aca="1" ref="AS127" ca="1">SUMPRODUCT(($E127:$AH127)*(AS$3=$E$3:$AH$3)*(AS$4=$E$4:$AH$4)*(AS$5=$E$5:$AH$5)*(AS$6=$E$6:$AH$6))</f>
        <v>0</v>
      </c>
      <c r="AT127" s="22"/>
      <c r="AU127" s="22" cm="1">
        <f t="array" aca="1" ref="AU127" ca="1">SUMPRODUCT(($E127:$AH127)*(AU$5=$E$5:$AH$5))</f>
        <v>0</v>
      </c>
      <c r="AV127" s="22" cm="1">
        <f t="array" aca="1" ref="AV127" ca="1">SUMPRODUCT(($E127:$AH127)*(AV$5=$E$5:$AH$5))</f>
        <v>389.76</v>
      </c>
      <c r="AW127" s="22" cm="1">
        <f t="array" aca="1" ref="AW127" ca="1">SUMPRODUCT(($E127:$AH127)*(AW$5=$E$5:$AH$5))</f>
        <v>400.60649999999998</v>
      </c>
    </row>
    <row r="128" spans="2:49" x14ac:dyDescent="0.2">
      <c r="P128" s="2"/>
      <c r="Q128" t="s">
        <v>55</v>
      </c>
      <c r="AM128" s="2"/>
    </row>
    <row r="129" spans="2:64" x14ac:dyDescent="0.2">
      <c r="C129" s="17" t="s">
        <v>102</v>
      </c>
      <c r="D129" s="17"/>
      <c r="E129" s="18" t="str">
        <f t="shared" ref="E129:AH129" si="101">E$9</f>
        <v>Jul-20A</v>
      </c>
      <c r="F129" s="18" t="str">
        <f t="shared" si="101"/>
        <v>Aug-20A</v>
      </c>
      <c r="G129" s="18" t="str">
        <f t="shared" si="101"/>
        <v>Sep-20A</v>
      </c>
      <c r="H129" s="18" t="str">
        <f t="shared" si="101"/>
        <v>Oct-20A</v>
      </c>
      <c r="I129" s="18" t="str">
        <f t="shared" si="101"/>
        <v>Nov-20A</v>
      </c>
      <c r="J129" s="18" t="str">
        <f t="shared" si="101"/>
        <v>Dec-20A</v>
      </c>
      <c r="K129" s="18" t="str">
        <f t="shared" si="101"/>
        <v>Jan-21A</v>
      </c>
      <c r="L129" s="18" t="str">
        <f t="shared" si="101"/>
        <v>Feb-21A</v>
      </c>
      <c r="M129" s="18" t="str">
        <f t="shared" si="101"/>
        <v>Mar-21A</v>
      </c>
      <c r="N129" s="18" t="str">
        <f t="shared" si="101"/>
        <v>Apr-21A</v>
      </c>
      <c r="O129" s="18" t="str">
        <f t="shared" si="101"/>
        <v>May-21A</v>
      </c>
      <c r="P129" s="19" t="str">
        <f t="shared" si="101"/>
        <v>Jun-21A</v>
      </c>
      <c r="Q129" s="18" t="str">
        <f t="shared" si="101"/>
        <v>Jul-21F</v>
      </c>
      <c r="R129" s="18" t="str">
        <f t="shared" si="101"/>
        <v>Aug-21F</v>
      </c>
      <c r="S129" s="18" t="str">
        <f t="shared" si="101"/>
        <v>Sep-21F</v>
      </c>
      <c r="T129" s="18" t="str">
        <f t="shared" si="101"/>
        <v>Oct-21F</v>
      </c>
      <c r="U129" s="18" t="str">
        <f t="shared" si="101"/>
        <v>Nov-21F</v>
      </c>
      <c r="V129" s="18" t="str">
        <f t="shared" si="101"/>
        <v>Dec-21F</v>
      </c>
      <c r="W129" s="18" t="str">
        <f t="shared" si="101"/>
        <v>Jan-22F</v>
      </c>
      <c r="X129" s="18" t="str">
        <f t="shared" si="101"/>
        <v>Feb-22F</v>
      </c>
      <c r="Y129" s="18" t="str">
        <f t="shared" si="101"/>
        <v>Mar-22F</v>
      </c>
      <c r="Z129" s="18" t="str">
        <f t="shared" si="101"/>
        <v>Apr-22F</v>
      </c>
      <c r="AA129" s="18" t="str">
        <f t="shared" si="101"/>
        <v>May-22F</v>
      </c>
      <c r="AB129" s="18" t="str">
        <f t="shared" si="101"/>
        <v>Jun-22F</v>
      </c>
      <c r="AC129" s="18" t="str">
        <f t="shared" si="101"/>
        <v>Jul-22F</v>
      </c>
      <c r="AD129" s="18" t="str">
        <f t="shared" si="101"/>
        <v>Aug-22F</v>
      </c>
      <c r="AE129" s="18" t="str">
        <f t="shared" si="101"/>
        <v>Sep-22F</v>
      </c>
      <c r="AF129" s="18" t="str">
        <f t="shared" si="101"/>
        <v>Oct-22F</v>
      </c>
      <c r="AG129" s="18" t="str">
        <f t="shared" si="101"/>
        <v>Nov-22F</v>
      </c>
      <c r="AH129" s="18" t="str">
        <f t="shared" si="101"/>
        <v>Dec-22F</v>
      </c>
      <c r="AJ129" s="18" t="str">
        <f ca="1">AJ$10</f>
        <v>Q3'20A</v>
      </c>
      <c r="AK129" s="18" t="str">
        <f t="shared" ref="AK129:AW129" ca="1" si="102">AK$10</f>
        <v>Q4'20A</v>
      </c>
      <c r="AL129" s="18" t="str">
        <f t="shared" ca="1" si="102"/>
        <v>Q1'21A</v>
      </c>
      <c r="AM129" s="19" t="str">
        <f t="shared" ca="1" si="102"/>
        <v>Q2'21A</v>
      </c>
      <c r="AN129" s="18" t="str">
        <f t="shared" ca="1" si="102"/>
        <v>Q3'21F</v>
      </c>
      <c r="AO129" s="18" t="str">
        <f t="shared" ca="1" si="102"/>
        <v>Q4'21F</v>
      </c>
      <c r="AP129" s="18" t="str">
        <f t="shared" ca="1" si="102"/>
        <v>Q1'22F</v>
      </c>
      <c r="AQ129" s="18" t="str">
        <f t="shared" ca="1" si="102"/>
        <v>Q2'22F</v>
      </c>
      <c r="AR129" s="18" t="str">
        <f t="shared" ca="1" si="102"/>
        <v>Q3'22F</v>
      </c>
      <c r="AS129" s="18" t="str">
        <f t="shared" ca="1" si="102"/>
        <v>Q4'22F</v>
      </c>
      <c r="AU129" s="18" t="str">
        <f t="shared" ca="1" si="102"/>
        <v>FY20</v>
      </c>
      <c r="AV129" s="18" t="str">
        <f t="shared" ca="1" si="102"/>
        <v>FY21</v>
      </c>
      <c r="AW129" s="18" t="str">
        <f t="shared" ca="1" si="102"/>
        <v>FY22</v>
      </c>
    </row>
    <row r="130" spans="2:64" x14ac:dyDescent="0.2">
      <c r="C130" s="20" t="s">
        <v>103</v>
      </c>
      <c r="E130" s="73">
        <v>22400</v>
      </c>
      <c r="F130" s="73">
        <v>22400</v>
      </c>
      <c r="G130" s="73">
        <v>22400</v>
      </c>
      <c r="H130" s="73">
        <v>22400</v>
      </c>
      <c r="I130" s="73">
        <v>22400</v>
      </c>
      <c r="J130" s="74">
        <v>22400</v>
      </c>
      <c r="K130" s="73">
        <v>22400</v>
      </c>
      <c r="L130" s="73">
        <v>22400</v>
      </c>
      <c r="M130" s="73">
        <v>22400</v>
      </c>
      <c r="N130" s="73">
        <v>22400</v>
      </c>
      <c r="O130" s="73">
        <v>22400</v>
      </c>
      <c r="P130" s="75">
        <v>22400</v>
      </c>
      <c r="Q130" s="73">
        <v>22959.999999999996</v>
      </c>
      <c r="R130" s="73">
        <v>23520</v>
      </c>
      <c r="S130" s="73">
        <v>24808</v>
      </c>
      <c r="T130" s="73">
        <v>24640.000000000004</v>
      </c>
      <c r="U130" s="73">
        <v>24640.000000000004</v>
      </c>
      <c r="V130" s="73">
        <v>24640.000000000004</v>
      </c>
      <c r="W130" s="73">
        <v>24640.000000000004</v>
      </c>
      <c r="X130" s="73">
        <v>24640.000000000004</v>
      </c>
      <c r="Y130" s="73">
        <v>24640.000000000004</v>
      </c>
      <c r="Z130" s="73">
        <v>24640.000000000004</v>
      </c>
      <c r="AA130" s="73">
        <v>24640.000000000004</v>
      </c>
      <c r="AB130" s="73">
        <v>24640.000000000004</v>
      </c>
      <c r="AC130" s="73">
        <v>24640.000000000004</v>
      </c>
      <c r="AD130" s="73">
        <v>24640.000000000004</v>
      </c>
      <c r="AE130" s="73">
        <v>24640.000000000004</v>
      </c>
      <c r="AF130" s="73">
        <v>24640.000000000004</v>
      </c>
      <c r="AG130" s="73">
        <v>24640.000000000004</v>
      </c>
      <c r="AH130" s="73">
        <v>24640.000000000004</v>
      </c>
      <c r="AM130" s="2"/>
    </row>
    <row r="131" spans="2:64" x14ac:dyDescent="0.2">
      <c r="C131" s="25" t="s">
        <v>104</v>
      </c>
      <c r="D131" s="32"/>
      <c r="E131" s="28">
        <f ca="1">E132*1000000/E130</f>
        <v>1252.714550462053</v>
      </c>
      <c r="F131" s="28">
        <f t="shared" ref="F131:P131" ca="1" si="103">F132*1000000/F130</f>
        <v>1245.7390696568082</v>
      </c>
      <c r="G131" s="28">
        <f t="shared" ca="1" si="103"/>
        <v>1272.2140273377547</v>
      </c>
      <c r="H131" s="28">
        <f t="shared" ca="1" si="103"/>
        <v>1255.5115744812472</v>
      </c>
      <c r="I131" s="28">
        <f t="shared" ca="1" si="103"/>
        <v>1251.0004431349971</v>
      </c>
      <c r="J131" s="28">
        <f t="shared" ca="1" si="103"/>
        <v>1270.2159858486987</v>
      </c>
      <c r="K131" s="28">
        <f t="shared" ca="1" si="103"/>
        <v>1263.2719487786037</v>
      </c>
      <c r="L131" s="28">
        <f t="shared" ca="1" si="103"/>
        <v>1272.7412792252344</v>
      </c>
      <c r="M131" s="28">
        <f t="shared" ca="1" si="103"/>
        <v>1245.8142650554037</v>
      </c>
      <c r="N131" s="28">
        <f t="shared" ca="1" si="103"/>
        <v>1256.6388427176919</v>
      </c>
      <c r="O131" s="28">
        <f t="shared" ca="1" si="103"/>
        <v>1267.1138041220811</v>
      </c>
      <c r="P131" s="28">
        <f t="shared" ca="1" si="103"/>
        <v>1248.078022156554</v>
      </c>
      <c r="Q131" s="45">
        <f ca="1">AVERAGE($K$131:$P$131)</f>
        <v>1258.9430270092614</v>
      </c>
      <c r="R131" s="45">
        <f t="shared" ref="R131:AH131" ca="1" si="104">AVERAGE($K$131:$P$131)</f>
        <v>1258.9430270092614</v>
      </c>
      <c r="S131" s="45">
        <f t="shared" ca="1" si="104"/>
        <v>1258.9430270092614</v>
      </c>
      <c r="T131" s="45">
        <f t="shared" ca="1" si="104"/>
        <v>1258.9430270092614</v>
      </c>
      <c r="U131" s="45">
        <f t="shared" ca="1" si="104"/>
        <v>1258.9430270092614</v>
      </c>
      <c r="V131" s="45">
        <f t="shared" ca="1" si="104"/>
        <v>1258.9430270092614</v>
      </c>
      <c r="W131" s="45">
        <f t="shared" ca="1" si="104"/>
        <v>1258.9430270092614</v>
      </c>
      <c r="X131" s="45">
        <f t="shared" ca="1" si="104"/>
        <v>1258.9430270092614</v>
      </c>
      <c r="Y131" s="45">
        <f t="shared" ca="1" si="104"/>
        <v>1258.9430270092614</v>
      </c>
      <c r="Z131" s="45">
        <f t="shared" ca="1" si="104"/>
        <v>1258.9430270092614</v>
      </c>
      <c r="AA131" s="45">
        <f t="shared" ca="1" si="104"/>
        <v>1258.9430270092614</v>
      </c>
      <c r="AB131" s="45">
        <f t="shared" ca="1" si="104"/>
        <v>1258.9430270092614</v>
      </c>
      <c r="AC131" s="45">
        <f t="shared" ca="1" si="104"/>
        <v>1258.9430270092614</v>
      </c>
      <c r="AD131" s="45">
        <f t="shared" ca="1" si="104"/>
        <v>1258.9430270092614</v>
      </c>
      <c r="AE131" s="45">
        <f t="shared" ca="1" si="104"/>
        <v>1258.9430270092614</v>
      </c>
      <c r="AF131" s="45">
        <f t="shared" ca="1" si="104"/>
        <v>1258.9430270092614</v>
      </c>
      <c r="AG131" s="45">
        <f t="shared" ca="1" si="104"/>
        <v>1258.9430270092614</v>
      </c>
      <c r="AH131" s="45">
        <f t="shared" ca="1" si="104"/>
        <v>1258.9430270092614</v>
      </c>
      <c r="AJ131" s="32"/>
      <c r="AK131" s="32"/>
      <c r="AL131" s="32"/>
      <c r="AM131" s="63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</row>
    <row r="132" spans="2:64" x14ac:dyDescent="0.2">
      <c r="B132" t="s">
        <v>12</v>
      </c>
      <c r="C132" t="s">
        <v>102</v>
      </c>
      <c r="E132" s="66">
        <f ca="1">E131*E130/1000000</f>
        <v>28.060805930349986</v>
      </c>
      <c r="F132" s="66">
        <f t="shared" ref="F132:P132" ca="1" si="105">F131*F130/1000000</f>
        <v>27.904555160312505</v>
      </c>
      <c r="G132" s="66">
        <f t="shared" ca="1" si="105"/>
        <v>28.497594212365705</v>
      </c>
      <c r="H132" s="66">
        <f t="shared" ca="1" si="105"/>
        <v>28.123459268379939</v>
      </c>
      <c r="I132" s="66">
        <f t="shared" ca="1" si="105"/>
        <v>28.022409926223933</v>
      </c>
      <c r="J132" s="41">
        <f t="shared" ca="1" si="105"/>
        <v>28.45283808301085</v>
      </c>
      <c r="K132" s="66">
        <f t="shared" ca="1" si="105"/>
        <v>28.297291652640723</v>
      </c>
      <c r="L132" s="66">
        <f t="shared" ca="1" si="105"/>
        <v>28.509404654645248</v>
      </c>
      <c r="M132" s="66">
        <f t="shared" ca="1" si="105"/>
        <v>27.906239537241042</v>
      </c>
      <c r="N132" s="66">
        <f t="shared" ca="1" si="105"/>
        <v>28.148710076876299</v>
      </c>
      <c r="O132" s="66">
        <f t="shared" ca="1" si="105"/>
        <v>28.383349212334618</v>
      </c>
      <c r="P132" s="42">
        <f t="shared" ca="1" si="105"/>
        <v>27.956947696306809</v>
      </c>
      <c r="Q132" s="22">
        <f ca="1">Q131*Q130/1000000</f>
        <v>28.905331900132637</v>
      </c>
      <c r="R132" s="22">
        <f t="shared" ref="R132:AH132" ca="1" si="106">R131*R130/1000000</f>
        <v>29.610339995257828</v>
      </c>
      <c r="S132" s="22">
        <f t="shared" ca="1" si="106"/>
        <v>31.231858614045759</v>
      </c>
      <c r="T132" s="22">
        <f t="shared" ca="1" si="106"/>
        <v>31.020356185508206</v>
      </c>
      <c r="U132" s="22">
        <f t="shared" ca="1" si="106"/>
        <v>31.020356185508206</v>
      </c>
      <c r="V132" s="22">
        <f t="shared" ca="1" si="106"/>
        <v>31.020356185508206</v>
      </c>
      <c r="W132" s="22">
        <f t="shared" ca="1" si="106"/>
        <v>31.020356185508206</v>
      </c>
      <c r="X132" s="22">
        <f t="shared" ca="1" si="106"/>
        <v>31.020356185508206</v>
      </c>
      <c r="Y132" s="22">
        <f t="shared" ca="1" si="106"/>
        <v>31.020356185508206</v>
      </c>
      <c r="Z132" s="22">
        <f t="shared" ca="1" si="106"/>
        <v>31.020356185508206</v>
      </c>
      <c r="AA132" s="22">
        <f t="shared" ca="1" si="106"/>
        <v>31.020356185508206</v>
      </c>
      <c r="AB132" s="22">
        <f t="shared" ca="1" si="106"/>
        <v>31.020356185508206</v>
      </c>
      <c r="AC132" s="22">
        <f t="shared" ca="1" si="106"/>
        <v>31.020356185508206</v>
      </c>
      <c r="AD132" s="22">
        <f t="shared" ca="1" si="106"/>
        <v>31.020356185508206</v>
      </c>
      <c r="AE132" s="22">
        <f t="shared" ca="1" si="106"/>
        <v>31.020356185508206</v>
      </c>
      <c r="AF132" s="22">
        <f t="shared" ca="1" si="106"/>
        <v>31.020356185508206</v>
      </c>
      <c r="AG132" s="22">
        <f t="shared" ca="1" si="106"/>
        <v>31.020356185508206</v>
      </c>
      <c r="AH132" s="22">
        <f t="shared" ca="1" si="106"/>
        <v>31.020356185508206</v>
      </c>
      <c r="AJ132" s="22" cm="1">
        <f t="array" aca="1" ref="AJ132" ca="1">SUMPRODUCT(($E132:$AH132)*(AJ$3&amp;AJ$4&amp;AJ$5&amp;AJ$6=$E$3:$AH$3&amp;$E$4:$AH$4&amp;$E$5:$AH$5&amp;$E$6:$AH$6))</f>
        <v>84.462955303028195</v>
      </c>
      <c r="AK132" s="22" cm="1">
        <f t="array" aca="1" ref="AK132" ca="1">SUMPRODUCT(($E132:$AH132)*(AK$3=$E$3:$AH$3)*(AK$4=$E$4:$AH$4)*(AK$5=$E$5:$AH$5)*(AK$6=$E$6:$AH$6))</f>
        <v>84.598707277614722</v>
      </c>
      <c r="AL132" s="22" cm="1">
        <f t="array" aca="1" ref="AL132" ca="1">SUMPRODUCT(($E132:$AH132)*(AL$3=$E$3:$AH$3)*(AL$4=$E$4:$AH$4)*(AL$5=$E$5:$AH$5)*(AL$6=$E$6:$AH$6))</f>
        <v>84.71293584452701</v>
      </c>
      <c r="AM132" s="23" cm="1">
        <f t="array" aca="1" ref="AM132" ca="1">SUMPRODUCT(($E132:$AH132)*(AM$3=$E$3:$AH$3)*(AM$4=$E$4:$AH$4)*(AM$5=$E$5:$AH$5)*(AM$6=$E$6:$AH$6))</f>
        <v>84.489006985517733</v>
      </c>
      <c r="AN132" s="22" cm="1">
        <f t="array" aca="1" ref="AN132" ca="1">SUMPRODUCT(($E132:$AH132)*(AN$3=$E$3:$AH$3)*(AN$4=$E$4:$AH$4)*(AN$5=$E$5:$AH$5)*(AN$6=$E$6:$AH$6))</f>
        <v>89.747530509436231</v>
      </c>
      <c r="AO132" s="22" cm="1">
        <f t="array" aca="1" ref="AO132" ca="1">SUMPRODUCT(($E132:$AH132)*(AO$3=$E$3:$AH$3)*(AO$4=$E$4:$AH$4)*(AO$5=$E$5:$AH$5)*(AO$6=$E$6:$AH$6))</f>
        <v>93.061068556524617</v>
      </c>
      <c r="AP132" s="22" cm="1">
        <f t="array" aca="1" ref="AP132" ca="1">SUMPRODUCT(($E132:$AH132)*(AP$3=$E$3:$AH$3)*(AP$4=$E$4:$AH$4)*(AP$5=$E$5:$AH$5)*(AP$6=$E$6:$AH$6))</f>
        <v>93.061068556524617</v>
      </c>
      <c r="AQ132" s="22" cm="1">
        <f t="array" aca="1" ref="AQ132" ca="1">SUMPRODUCT(($E132:$AH132)*(AQ$3=$E$3:$AH$3)*(AQ$4=$E$4:$AH$4)*(AQ$5=$E$5:$AH$5)*(AQ$6=$E$6:$AH$6))</f>
        <v>93.061068556524617</v>
      </c>
      <c r="AR132" s="22" cm="1">
        <f t="array" aca="1" ref="AR132" ca="1">SUMPRODUCT(($E132:$AH132)*(AR$3=$E$3:$AH$3)*(AR$4=$E$4:$AH$4)*(AR$5=$E$5:$AH$5)*(AR$6=$E$6:$AH$6))</f>
        <v>93.061068556524617</v>
      </c>
      <c r="AS132" s="22" cm="1">
        <f t="array" aca="1" ref="AS132" ca="1">SUMPRODUCT(($E132:$AH132)*(AS$3=$E$3:$AH$3)*(AS$4=$E$4:$AH$4)*(AS$5=$E$5:$AH$5)*(AS$6=$E$6:$AH$6))</f>
        <v>93.061068556524617</v>
      </c>
      <c r="AT132" s="22"/>
      <c r="AU132" s="22" cm="1">
        <f t="array" aca="1" ref="AU132" ca="1">SUMPRODUCT(($E132:$AH132)*(AU$5=$E$5:$AH$5))</f>
        <v>169.06166258064292</v>
      </c>
      <c r="AV132" s="22" cm="1">
        <f t="array" aca="1" ref="AV132" ca="1">SUMPRODUCT(($E132:$AH132)*(AV$5=$E$5:$AH$5))</f>
        <v>352.01054189600552</v>
      </c>
      <c r="AW132" s="22" cm="1">
        <f t="array" aca="1" ref="AW132" ca="1">SUMPRODUCT(($E132:$AH132)*(AW$5=$E$5:$AH$5))</f>
        <v>372.24427422609847</v>
      </c>
    </row>
    <row r="133" spans="2:64" x14ac:dyDescent="0.2">
      <c r="P133" s="2"/>
      <c r="Q133" t="s">
        <v>105</v>
      </c>
      <c r="AM133" s="2"/>
    </row>
    <row r="134" spans="2:64" x14ac:dyDescent="0.2">
      <c r="C134" s="17" t="s">
        <v>106</v>
      </c>
      <c r="D134" s="17"/>
      <c r="E134" s="18" t="str">
        <f t="shared" ref="E134:AH134" si="107">E$9</f>
        <v>Jul-20A</v>
      </c>
      <c r="F134" s="18" t="str">
        <f t="shared" si="107"/>
        <v>Aug-20A</v>
      </c>
      <c r="G134" s="18" t="str">
        <f t="shared" si="107"/>
        <v>Sep-20A</v>
      </c>
      <c r="H134" s="18" t="str">
        <f t="shared" si="107"/>
        <v>Oct-20A</v>
      </c>
      <c r="I134" s="18" t="str">
        <f t="shared" si="107"/>
        <v>Nov-20A</v>
      </c>
      <c r="J134" s="18" t="str">
        <f t="shared" si="107"/>
        <v>Dec-20A</v>
      </c>
      <c r="K134" s="18" t="str">
        <f t="shared" si="107"/>
        <v>Jan-21A</v>
      </c>
      <c r="L134" s="18" t="str">
        <f t="shared" si="107"/>
        <v>Feb-21A</v>
      </c>
      <c r="M134" s="18" t="str">
        <f t="shared" si="107"/>
        <v>Mar-21A</v>
      </c>
      <c r="N134" s="18" t="str">
        <f t="shared" si="107"/>
        <v>Apr-21A</v>
      </c>
      <c r="O134" s="18" t="str">
        <f t="shared" si="107"/>
        <v>May-21A</v>
      </c>
      <c r="P134" s="19" t="str">
        <f t="shared" si="107"/>
        <v>Jun-21A</v>
      </c>
      <c r="Q134" s="18" t="str">
        <f t="shared" si="107"/>
        <v>Jul-21F</v>
      </c>
      <c r="R134" s="18" t="str">
        <f t="shared" si="107"/>
        <v>Aug-21F</v>
      </c>
      <c r="S134" s="18" t="str">
        <f t="shared" si="107"/>
        <v>Sep-21F</v>
      </c>
      <c r="T134" s="18" t="str">
        <f t="shared" si="107"/>
        <v>Oct-21F</v>
      </c>
      <c r="U134" s="18" t="str">
        <f t="shared" si="107"/>
        <v>Nov-21F</v>
      </c>
      <c r="V134" s="18" t="str">
        <f t="shared" si="107"/>
        <v>Dec-21F</v>
      </c>
      <c r="W134" s="18" t="str">
        <f t="shared" si="107"/>
        <v>Jan-22F</v>
      </c>
      <c r="X134" s="18" t="str">
        <f t="shared" si="107"/>
        <v>Feb-22F</v>
      </c>
      <c r="Y134" s="18" t="str">
        <f t="shared" si="107"/>
        <v>Mar-22F</v>
      </c>
      <c r="Z134" s="18" t="str">
        <f t="shared" si="107"/>
        <v>Apr-22F</v>
      </c>
      <c r="AA134" s="18" t="str">
        <f t="shared" si="107"/>
        <v>May-22F</v>
      </c>
      <c r="AB134" s="18" t="str">
        <f t="shared" si="107"/>
        <v>Jun-22F</v>
      </c>
      <c r="AC134" s="18" t="str">
        <f t="shared" si="107"/>
        <v>Jul-22F</v>
      </c>
      <c r="AD134" s="18" t="str">
        <f t="shared" si="107"/>
        <v>Aug-22F</v>
      </c>
      <c r="AE134" s="18" t="str">
        <f t="shared" si="107"/>
        <v>Sep-22F</v>
      </c>
      <c r="AF134" s="18" t="str">
        <f t="shared" si="107"/>
        <v>Oct-22F</v>
      </c>
      <c r="AG134" s="18" t="str">
        <f t="shared" si="107"/>
        <v>Nov-22F</v>
      </c>
      <c r="AH134" s="18" t="str">
        <f t="shared" si="107"/>
        <v>Dec-22F</v>
      </c>
      <c r="AJ134" s="18" t="str">
        <f ca="1">AJ$10</f>
        <v>Q3'20A</v>
      </c>
      <c r="AK134" s="18" t="str">
        <f t="shared" ref="AK134:AW134" ca="1" si="108">AK$10</f>
        <v>Q4'20A</v>
      </c>
      <c r="AL134" s="18" t="str">
        <f t="shared" ca="1" si="108"/>
        <v>Q1'21A</v>
      </c>
      <c r="AM134" s="19" t="str">
        <f t="shared" ca="1" si="108"/>
        <v>Q2'21A</v>
      </c>
      <c r="AN134" s="18" t="str">
        <f t="shared" ca="1" si="108"/>
        <v>Q3'21F</v>
      </c>
      <c r="AO134" s="18" t="str">
        <f t="shared" ca="1" si="108"/>
        <v>Q4'21F</v>
      </c>
      <c r="AP134" s="18" t="str">
        <f t="shared" ca="1" si="108"/>
        <v>Q1'22F</v>
      </c>
      <c r="AQ134" s="18" t="str">
        <f t="shared" ca="1" si="108"/>
        <v>Q2'22F</v>
      </c>
      <c r="AR134" s="18" t="str">
        <f t="shared" ca="1" si="108"/>
        <v>Q3'22F</v>
      </c>
      <c r="AS134" s="18" t="str">
        <f t="shared" ca="1" si="108"/>
        <v>Q4'22F</v>
      </c>
      <c r="AU134" s="18" t="str">
        <f t="shared" ca="1" si="108"/>
        <v>FY20</v>
      </c>
      <c r="AV134" s="18" t="str">
        <f t="shared" ca="1" si="108"/>
        <v>FY21</v>
      </c>
      <c r="AW134" s="18" t="str">
        <f t="shared" ca="1" si="108"/>
        <v>FY22</v>
      </c>
    </row>
    <row r="135" spans="2:64" x14ac:dyDescent="0.2">
      <c r="C135" s="71" t="s">
        <v>103</v>
      </c>
      <c r="E135" s="73">
        <v>22400</v>
      </c>
      <c r="F135" s="73">
        <v>22400</v>
      </c>
      <c r="G135" s="73">
        <v>22400</v>
      </c>
      <c r="H135" s="73">
        <v>22400</v>
      </c>
      <c r="I135" s="73">
        <v>22400</v>
      </c>
      <c r="J135" s="74">
        <v>22400</v>
      </c>
      <c r="K135" s="73">
        <v>22400</v>
      </c>
      <c r="L135" s="73">
        <v>22400</v>
      </c>
      <c r="M135" s="73">
        <v>22400</v>
      </c>
      <c r="N135" s="73">
        <v>22400</v>
      </c>
      <c r="O135" s="73">
        <v>22400</v>
      </c>
      <c r="P135" s="75">
        <v>22400</v>
      </c>
      <c r="Q135" s="73">
        <v>22959.999999999996</v>
      </c>
      <c r="R135" s="73">
        <v>23520</v>
      </c>
      <c r="S135" s="73">
        <v>24808</v>
      </c>
      <c r="T135" s="73">
        <v>24640.000000000004</v>
      </c>
      <c r="U135" s="73">
        <v>24640.000000000004</v>
      </c>
      <c r="V135" s="73">
        <v>24640.000000000004</v>
      </c>
      <c r="W135" s="73">
        <v>24640.000000000004</v>
      </c>
      <c r="X135" s="73">
        <v>24640.000000000004</v>
      </c>
      <c r="Y135" s="73">
        <v>24640.000000000004</v>
      </c>
      <c r="Z135" s="73">
        <v>24640.000000000004</v>
      </c>
      <c r="AA135" s="73">
        <v>24640.000000000004</v>
      </c>
      <c r="AB135" s="73">
        <v>24640.000000000004</v>
      </c>
      <c r="AC135" s="73">
        <v>24640.000000000004</v>
      </c>
      <c r="AD135" s="73">
        <v>24640.000000000004</v>
      </c>
      <c r="AE135" s="73">
        <v>24640.000000000004</v>
      </c>
      <c r="AF135" s="73">
        <v>24640.000000000004</v>
      </c>
      <c r="AG135" s="73">
        <v>24640.000000000004</v>
      </c>
      <c r="AH135" s="73">
        <v>24640.000000000004</v>
      </c>
      <c r="AM135" s="2"/>
      <c r="AZ135" s="1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</row>
    <row r="136" spans="2:64" x14ac:dyDescent="0.2">
      <c r="C136" s="116" t="s">
        <v>107</v>
      </c>
      <c r="D136" s="32"/>
      <c r="E136" s="94">
        <v>2000</v>
      </c>
      <c r="F136" s="94">
        <v>2000</v>
      </c>
      <c r="G136" s="94">
        <v>2000</v>
      </c>
      <c r="H136" s="94">
        <v>2000</v>
      </c>
      <c r="I136" s="94">
        <v>2000</v>
      </c>
      <c r="J136" s="94">
        <v>2000</v>
      </c>
      <c r="K136" s="94">
        <v>2000</v>
      </c>
      <c r="L136" s="94">
        <v>2000</v>
      </c>
      <c r="M136" s="94">
        <v>2000</v>
      </c>
      <c r="N136" s="94">
        <v>2000</v>
      </c>
      <c r="O136" s="94">
        <v>2000</v>
      </c>
      <c r="P136" s="95">
        <v>2000</v>
      </c>
      <c r="Q136" s="94">
        <v>2000</v>
      </c>
      <c r="R136" s="94">
        <v>2100</v>
      </c>
      <c r="S136" s="94">
        <v>2100</v>
      </c>
      <c r="T136" s="94">
        <v>2100</v>
      </c>
      <c r="U136" s="94">
        <v>2100</v>
      </c>
      <c r="V136" s="94">
        <v>2100</v>
      </c>
      <c r="W136" s="94">
        <v>2100</v>
      </c>
      <c r="X136" s="94">
        <v>2100</v>
      </c>
      <c r="Y136" s="94">
        <v>2100</v>
      </c>
      <c r="Z136" s="94">
        <v>2100</v>
      </c>
      <c r="AA136" s="94">
        <v>2100</v>
      </c>
      <c r="AB136" s="94">
        <v>2100</v>
      </c>
      <c r="AC136" s="94">
        <v>2100</v>
      </c>
      <c r="AD136" s="94">
        <v>2100</v>
      </c>
      <c r="AE136" s="94">
        <v>2100</v>
      </c>
      <c r="AF136" s="94">
        <v>2100</v>
      </c>
      <c r="AG136" s="94">
        <v>2100</v>
      </c>
      <c r="AH136" s="94">
        <v>2100</v>
      </c>
      <c r="AJ136" s="32"/>
      <c r="AK136" s="32"/>
      <c r="AL136" s="32"/>
      <c r="AM136" s="63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BA136" s="6"/>
      <c r="BB136" s="6"/>
      <c r="BC136" s="6"/>
      <c r="BD136" s="6"/>
      <c r="BE136" s="6"/>
      <c r="BF136" s="6"/>
      <c r="BG136" s="82"/>
      <c r="BH136" s="82"/>
      <c r="BI136" s="82"/>
      <c r="BJ136" s="82"/>
      <c r="BK136" s="82"/>
      <c r="BL136" s="82"/>
    </row>
    <row r="137" spans="2:64" x14ac:dyDescent="0.2">
      <c r="C137" s="20" t="s">
        <v>108</v>
      </c>
      <c r="E137" s="92">
        <f>SUM(E135:E136)</f>
        <v>24400</v>
      </c>
      <c r="F137" s="92">
        <f t="shared" ref="F137:AH137" si="109">SUM(F135:F136)</f>
        <v>24400</v>
      </c>
      <c r="G137" s="92">
        <f t="shared" si="109"/>
        <v>24400</v>
      </c>
      <c r="H137" s="92">
        <f t="shared" si="109"/>
        <v>24400</v>
      </c>
      <c r="I137" s="92">
        <f t="shared" si="109"/>
        <v>24400</v>
      </c>
      <c r="J137" s="92">
        <f t="shared" si="109"/>
        <v>24400</v>
      </c>
      <c r="K137" s="92">
        <f t="shared" si="109"/>
        <v>24400</v>
      </c>
      <c r="L137" s="92">
        <f t="shared" si="109"/>
        <v>24400</v>
      </c>
      <c r="M137" s="92">
        <f t="shared" si="109"/>
        <v>24400</v>
      </c>
      <c r="N137" s="92">
        <f t="shared" si="109"/>
        <v>24400</v>
      </c>
      <c r="O137" s="92">
        <f t="shared" si="109"/>
        <v>24400</v>
      </c>
      <c r="P137" s="92">
        <f t="shared" si="109"/>
        <v>24400</v>
      </c>
      <c r="Q137" s="92">
        <f t="shared" si="109"/>
        <v>24959.999999999996</v>
      </c>
      <c r="R137" s="92">
        <f t="shared" si="109"/>
        <v>25620</v>
      </c>
      <c r="S137" s="92">
        <f t="shared" si="109"/>
        <v>26908</v>
      </c>
      <c r="T137" s="92">
        <f t="shared" si="109"/>
        <v>26740.000000000004</v>
      </c>
      <c r="U137" s="92">
        <f t="shared" si="109"/>
        <v>26740.000000000004</v>
      </c>
      <c r="V137" s="92">
        <f t="shared" si="109"/>
        <v>26740.000000000004</v>
      </c>
      <c r="W137" s="92">
        <f t="shared" si="109"/>
        <v>26740.000000000004</v>
      </c>
      <c r="X137" s="92">
        <f t="shared" si="109"/>
        <v>26740.000000000004</v>
      </c>
      <c r="Y137" s="92">
        <f t="shared" si="109"/>
        <v>26740.000000000004</v>
      </c>
      <c r="Z137" s="92">
        <f t="shared" si="109"/>
        <v>26740.000000000004</v>
      </c>
      <c r="AA137" s="92">
        <f t="shared" si="109"/>
        <v>26740.000000000004</v>
      </c>
      <c r="AB137" s="92">
        <f t="shared" si="109"/>
        <v>26740.000000000004</v>
      </c>
      <c r="AC137" s="92">
        <f t="shared" si="109"/>
        <v>26740.000000000004</v>
      </c>
      <c r="AD137" s="92">
        <f t="shared" si="109"/>
        <v>26740.000000000004</v>
      </c>
      <c r="AE137" s="92">
        <f t="shared" si="109"/>
        <v>26740.000000000004</v>
      </c>
      <c r="AF137" s="92">
        <f t="shared" si="109"/>
        <v>26740.000000000004</v>
      </c>
      <c r="AG137" s="92">
        <f t="shared" si="109"/>
        <v>26740.000000000004</v>
      </c>
      <c r="AH137" s="92">
        <f t="shared" si="109"/>
        <v>26740.000000000004</v>
      </c>
      <c r="AM137" s="2"/>
      <c r="BA137" s="6"/>
      <c r="BB137" s="6"/>
      <c r="BC137" s="6"/>
      <c r="BD137" s="6"/>
      <c r="BE137" s="6"/>
      <c r="BF137" s="6"/>
      <c r="BG137" s="82"/>
      <c r="BH137" s="82"/>
      <c r="BI137" s="82"/>
      <c r="BJ137" s="82"/>
      <c r="BK137" s="82"/>
      <c r="BL137" s="82"/>
    </row>
    <row r="138" spans="2:64" x14ac:dyDescent="0.2">
      <c r="C138" s="25" t="s">
        <v>109</v>
      </c>
      <c r="D138" s="32"/>
      <c r="E138" s="28">
        <f>E139*1000000/E137</f>
        <v>499.42385289540721</v>
      </c>
      <c r="F138" s="28">
        <f t="shared" ref="F138:P138" si="110">F139*1000000/F137</f>
        <v>498.1199685914919</v>
      </c>
      <c r="G138" s="28">
        <f t="shared" si="110"/>
        <v>505.28289622848126</v>
      </c>
      <c r="H138" s="28">
        <f t="shared" si="110"/>
        <v>508.22995704472953</v>
      </c>
      <c r="I138" s="28">
        <f t="shared" si="110"/>
        <v>504.25924528038882</v>
      </c>
      <c r="J138" s="28">
        <f t="shared" si="110"/>
        <v>509.81247026232023</v>
      </c>
      <c r="K138" s="28">
        <f t="shared" si="110"/>
        <v>497.2909818746229</v>
      </c>
      <c r="L138" s="28">
        <f t="shared" si="110"/>
        <v>489.93664273888538</v>
      </c>
      <c r="M138" s="28">
        <f t="shared" si="110"/>
        <v>498.99298459585754</v>
      </c>
      <c r="N138" s="28">
        <f t="shared" si="110"/>
        <v>503.68877137076674</v>
      </c>
      <c r="O138" s="28">
        <f t="shared" si="110"/>
        <v>503.58822193937573</v>
      </c>
      <c r="P138" s="28">
        <f t="shared" si="110"/>
        <v>492.3970173462663</v>
      </c>
      <c r="Q138" s="45">
        <f ca="1">AVERAGE($E$138:$Q$138)</f>
        <v>500.9185841807161</v>
      </c>
      <c r="R138" s="45">
        <f t="shared" ref="R138:AH138" ca="1" si="111">AVERAGE($E$138:$Q$138)</f>
        <v>500.9185841807161</v>
      </c>
      <c r="S138" s="45">
        <f t="shared" ca="1" si="111"/>
        <v>500.9185841807161</v>
      </c>
      <c r="T138" s="45">
        <f t="shared" ca="1" si="111"/>
        <v>500.9185841807161</v>
      </c>
      <c r="U138" s="45">
        <f t="shared" ca="1" si="111"/>
        <v>500.9185841807161</v>
      </c>
      <c r="V138" s="45">
        <f t="shared" ca="1" si="111"/>
        <v>500.9185841807161</v>
      </c>
      <c r="W138" s="45">
        <f t="shared" ca="1" si="111"/>
        <v>500.9185841807161</v>
      </c>
      <c r="X138" s="45">
        <f t="shared" ca="1" si="111"/>
        <v>500.9185841807161</v>
      </c>
      <c r="Y138" s="45">
        <f t="shared" ca="1" si="111"/>
        <v>500.9185841807161</v>
      </c>
      <c r="Z138" s="45">
        <f t="shared" ca="1" si="111"/>
        <v>500.9185841807161</v>
      </c>
      <c r="AA138" s="45">
        <f t="shared" ca="1" si="111"/>
        <v>500.9185841807161</v>
      </c>
      <c r="AB138" s="45">
        <f t="shared" ca="1" si="111"/>
        <v>500.9185841807161</v>
      </c>
      <c r="AC138" s="45">
        <f t="shared" ca="1" si="111"/>
        <v>500.9185841807161</v>
      </c>
      <c r="AD138" s="45">
        <f t="shared" ca="1" si="111"/>
        <v>500.9185841807161</v>
      </c>
      <c r="AE138" s="45">
        <f t="shared" ca="1" si="111"/>
        <v>500.9185841807161</v>
      </c>
      <c r="AF138" s="45">
        <f t="shared" ca="1" si="111"/>
        <v>500.9185841807161</v>
      </c>
      <c r="AG138" s="45">
        <f t="shared" ca="1" si="111"/>
        <v>500.9185841807161</v>
      </c>
      <c r="AH138" s="45">
        <f t="shared" ca="1" si="111"/>
        <v>500.9185841807161</v>
      </c>
      <c r="AJ138" s="32"/>
      <c r="AK138" s="32"/>
      <c r="AL138" s="32"/>
      <c r="AM138" s="63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</row>
    <row r="139" spans="2:64" x14ac:dyDescent="0.2">
      <c r="B139" t="s">
        <v>12</v>
      </c>
      <c r="C139" t="s">
        <v>106</v>
      </c>
      <c r="E139" s="66">
        <v>12.185942010647937</v>
      </c>
      <c r="F139" s="66">
        <v>12.154127233632403</v>
      </c>
      <c r="G139" s="66">
        <v>12.328902667974944</v>
      </c>
      <c r="H139" s="66">
        <v>12.400810951891399</v>
      </c>
      <c r="I139" s="66">
        <v>12.303925584841489</v>
      </c>
      <c r="J139" s="41">
        <v>12.439424274400615</v>
      </c>
      <c r="K139" s="66">
        <v>12.133899957740798</v>
      </c>
      <c r="L139" s="66">
        <v>11.954454082828804</v>
      </c>
      <c r="M139" s="66">
        <v>12.175428824138924</v>
      </c>
      <c r="N139" s="66">
        <v>12.290006021446709</v>
      </c>
      <c r="O139" s="66">
        <v>12.287552615320768</v>
      </c>
      <c r="P139" s="42">
        <v>12.014487223248898</v>
      </c>
      <c r="Q139" s="22">
        <f ca="1">Q137*Q138/1000000</f>
        <v>12.502927861150672</v>
      </c>
      <c r="R139" s="22">
        <f t="shared" ref="R139:AH139" ca="1" si="112">R137*R138/1000000</f>
        <v>12.833534126709946</v>
      </c>
      <c r="S139" s="22">
        <f t="shared" ca="1" si="112"/>
        <v>13.478717263134708</v>
      </c>
      <c r="T139" s="22">
        <f t="shared" ca="1" si="112"/>
        <v>13.394562940992349</v>
      </c>
      <c r="U139" s="22">
        <f t="shared" ca="1" si="112"/>
        <v>13.394562940992349</v>
      </c>
      <c r="V139" s="22">
        <f t="shared" ca="1" si="112"/>
        <v>13.394562940992349</v>
      </c>
      <c r="W139" s="22">
        <f t="shared" ca="1" si="112"/>
        <v>13.394562940992349</v>
      </c>
      <c r="X139" s="22">
        <f t="shared" ca="1" si="112"/>
        <v>13.394562940992349</v>
      </c>
      <c r="Y139" s="22">
        <f t="shared" ca="1" si="112"/>
        <v>13.394562940992349</v>
      </c>
      <c r="Z139" s="22">
        <f t="shared" ca="1" si="112"/>
        <v>13.394562940992349</v>
      </c>
      <c r="AA139" s="22">
        <f t="shared" ca="1" si="112"/>
        <v>13.394562940992349</v>
      </c>
      <c r="AB139" s="22">
        <f t="shared" ca="1" si="112"/>
        <v>13.394562940992349</v>
      </c>
      <c r="AC139" s="22">
        <f t="shared" ca="1" si="112"/>
        <v>13.394562940992349</v>
      </c>
      <c r="AD139" s="22">
        <f t="shared" ca="1" si="112"/>
        <v>13.394562940992349</v>
      </c>
      <c r="AE139" s="22">
        <f t="shared" ca="1" si="112"/>
        <v>13.394562940992349</v>
      </c>
      <c r="AF139" s="22">
        <f t="shared" ca="1" si="112"/>
        <v>13.394562940992349</v>
      </c>
      <c r="AG139" s="22">
        <f t="shared" ca="1" si="112"/>
        <v>13.394562940992349</v>
      </c>
      <c r="AH139" s="22">
        <f t="shared" ca="1" si="112"/>
        <v>13.394562940992349</v>
      </c>
      <c r="AJ139" s="22" cm="1">
        <f t="array" aca="1" ref="AJ139" ca="1">SUMPRODUCT(($E139:$AH139)*(AJ$3&amp;AJ$4&amp;AJ$5&amp;AJ$6=$E$3:$AH$3&amp;$E$4:$AH$4&amp;$E$5:$AH$5&amp;$E$6:$AH$6))</f>
        <v>36.668971912255287</v>
      </c>
      <c r="AK139" s="22" cm="1">
        <f t="array" aca="1" ref="AK139" ca="1">SUMPRODUCT(($E139:$AH139)*(AK$3=$E$3:$AH$3)*(AK$4=$E$4:$AH$4)*(AK$5=$E$5:$AH$5)*(AK$6=$E$6:$AH$6))</f>
        <v>37.144160811133503</v>
      </c>
      <c r="AL139" s="22" cm="1">
        <f t="array" aca="1" ref="AL139" ca="1">SUMPRODUCT(($E139:$AH139)*(AL$3=$E$3:$AH$3)*(AL$4=$E$4:$AH$4)*(AL$5=$E$5:$AH$5)*(AL$6=$E$6:$AH$6))</f>
        <v>36.263782864708524</v>
      </c>
      <c r="AM139" s="23" cm="1">
        <f t="array" aca="1" ref="AM139" ca="1">SUMPRODUCT(($E139:$AH139)*(AM$3=$E$3:$AH$3)*(AM$4=$E$4:$AH$4)*(AM$5=$E$5:$AH$5)*(AM$6=$E$6:$AH$6))</f>
        <v>36.592045860016377</v>
      </c>
      <c r="AN139" s="22" cm="1">
        <f t="array" aca="1" ref="AN139" ca="1">SUMPRODUCT(($E139:$AH139)*(AN$3=$E$3:$AH$3)*(AN$4=$E$4:$AH$4)*(AN$5=$E$5:$AH$5)*(AN$6=$E$6:$AH$6))</f>
        <v>38.815179250995328</v>
      </c>
      <c r="AO139" s="22" cm="1">
        <f t="array" aca="1" ref="AO139" ca="1">SUMPRODUCT(($E139:$AH139)*(AO$3=$E$3:$AH$3)*(AO$4=$E$4:$AH$4)*(AO$5=$E$5:$AH$5)*(AO$6=$E$6:$AH$6))</f>
        <v>40.183688822977047</v>
      </c>
      <c r="AP139" s="22" cm="1">
        <f t="array" aca="1" ref="AP139" ca="1">SUMPRODUCT(($E139:$AH139)*(AP$3=$E$3:$AH$3)*(AP$4=$E$4:$AH$4)*(AP$5=$E$5:$AH$5)*(AP$6=$E$6:$AH$6))</f>
        <v>40.183688822977047</v>
      </c>
      <c r="AQ139" s="22" cm="1">
        <f t="array" aca="1" ref="AQ139" ca="1">SUMPRODUCT(($E139:$AH139)*(AQ$3=$E$3:$AH$3)*(AQ$4=$E$4:$AH$4)*(AQ$5=$E$5:$AH$5)*(AQ$6=$E$6:$AH$6))</f>
        <v>40.183688822977047</v>
      </c>
      <c r="AR139" s="22" cm="1">
        <f t="array" aca="1" ref="AR139" ca="1">SUMPRODUCT(($E139:$AH139)*(AR$3=$E$3:$AH$3)*(AR$4=$E$4:$AH$4)*(AR$5=$E$5:$AH$5)*(AR$6=$E$6:$AH$6))</f>
        <v>40.183688822977047</v>
      </c>
      <c r="AS139" s="22" cm="1">
        <f t="array" aca="1" ref="AS139" ca="1">SUMPRODUCT(($E139:$AH139)*(AS$3=$E$3:$AH$3)*(AS$4=$E$4:$AH$4)*(AS$5=$E$5:$AH$5)*(AS$6=$E$6:$AH$6))</f>
        <v>40.183688822977047</v>
      </c>
      <c r="AT139" s="22"/>
      <c r="AU139" s="22" cm="1">
        <f t="array" aca="1" ref="AU139" ca="1">SUMPRODUCT(($E139:$AH139)*(AU$5=$E$5:$AH$5))</f>
        <v>73.81313272338879</v>
      </c>
      <c r="AV139" s="22" cm="1">
        <f t="array" aca="1" ref="AV139" ca="1">SUMPRODUCT(($E139:$AH139)*(AV$5=$E$5:$AH$5))</f>
        <v>151.85469679869729</v>
      </c>
      <c r="AW139" s="22" cm="1">
        <f t="array" aca="1" ref="AW139" ca="1">SUMPRODUCT(($E139:$AH139)*(AW$5=$E$5:$AH$5))</f>
        <v>160.73475529190819</v>
      </c>
    </row>
    <row r="140" spans="2:64" x14ac:dyDescent="0.2">
      <c r="P140" s="2"/>
      <c r="AM140" s="2"/>
      <c r="BA140">
        <v>1</v>
      </c>
      <c r="BB140">
        <f>BA140+1</f>
        <v>2</v>
      </c>
      <c r="BC140">
        <f t="shared" ref="BC140:BL140" si="113">BB140+1</f>
        <v>3</v>
      </c>
      <c r="BD140">
        <f t="shared" si="113"/>
        <v>4</v>
      </c>
      <c r="BE140">
        <f t="shared" si="113"/>
        <v>5</v>
      </c>
      <c r="BF140">
        <f t="shared" si="113"/>
        <v>6</v>
      </c>
      <c r="BG140">
        <f t="shared" si="113"/>
        <v>7</v>
      </c>
      <c r="BH140">
        <f t="shared" si="113"/>
        <v>8</v>
      </c>
      <c r="BI140">
        <f t="shared" si="113"/>
        <v>9</v>
      </c>
      <c r="BJ140">
        <f t="shared" si="113"/>
        <v>10</v>
      </c>
      <c r="BK140">
        <f t="shared" si="113"/>
        <v>11</v>
      </c>
      <c r="BL140">
        <f t="shared" si="113"/>
        <v>12</v>
      </c>
    </row>
    <row r="141" spans="2:64" x14ac:dyDescent="0.2">
      <c r="C141" s="17" t="s">
        <v>110</v>
      </c>
      <c r="D141" s="17"/>
      <c r="E141" s="18" t="str">
        <f t="shared" ref="E141:AH141" si="114">E$9</f>
        <v>Jul-20A</v>
      </c>
      <c r="F141" s="18" t="str">
        <f t="shared" si="114"/>
        <v>Aug-20A</v>
      </c>
      <c r="G141" s="18" t="str">
        <f t="shared" si="114"/>
        <v>Sep-20A</v>
      </c>
      <c r="H141" s="18" t="str">
        <f t="shared" si="114"/>
        <v>Oct-20A</v>
      </c>
      <c r="I141" s="18" t="str">
        <f t="shared" si="114"/>
        <v>Nov-20A</v>
      </c>
      <c r="J141" s="18" t="str">
        <f t="shared" si="114"/>
        <v>Dec-20A</v>
      </c>
      <c r="K141" s="18" t="str">
        <f t="shared" si="114"/>
        <v>Jan-21A</v>
      </c>
      <c r="L141" s="18" t="str">
        <f t="shared" si="114"/>
        <v>Feb-21A</v>
      </c>
      <c r="M141" s="18" t="str">
        <f t="shared" si="114"/>
        <v>Mar-21A</v>
      </c>
      <c r="N141" s="18" t="str">
        <f t="shared" si="114"/>
        <v>Apr-21A</v>
      </c>
      <c r="O141" s="18" t="str">
        <f t="shared" si="114"/>
        <v>May-21A</v>
      </c>
      <c r="P141" s="19" t="str">
        <f t="shared" si="114"/>
        <v>Jun-21A</v>
      </c>
      <c r="Q141" s="18" t="str">
        <f t="shared" si="114"/>
        <v>Jul-21F</v>
      </c>
      <c r="R141" s="18" t="str">
        <f t="shared" si="114"/>
        <v>Aug-21F</v>
      </c>
      <c r="S141" s="18" t="str">
        <f t="shared" si="114"/>
        <v>Sep-21F</v>
      </c>
      <c r="T141" s="18" t="str">
        <f t="shared" si="114"/>
        <v>Oct-21F</v>
      </c>
      <c r="U141" s="18" t="str">
        <f t="shared" si="114"/>
        <v>Nov-21F</v>
      </c>
      <c r="V141" s="18" t="str">
        <f t="shared" si="114"/>
        <v>Dec-21F</v>
      </c>
      <c r="W141" s="18" t="str">
        <f t="shared" si="114"/>
        <v>Jan-22F</v>
      </c>
      <c r="X141" s="18" t="str">
        <f t="shared" si="114"/>
        <v>Feb-22F</v>
      </c>
      <c r="Y141" s="18" t="str">
        <f t="shared" si="114"/>
        <v>Mar-22F</v>
      </c>
      <c r="Z141" s="18" t="str">
        <f t="shared" si="114"/>
        <v>Apr-22F</v>
      </c>
      <c r="AA141" s="18" t="str">
        <f t="shared" si="114"/>
        <v>May-22F</v>
      </c>
      <c r="AB141" s="18" t="str">
        <f t="shared" si="114"/>
        <v>Jun-22F</v>
      </c>
      <c r="AC141" s="18" t="str">
        <f t="shared" si="114"/>
        <v>Jul-22F</v>
      </c>
      <c r="AD141" s="18" t="str">
        <f t="shared" si="114"/>
        <v>Aug-22F</v>
      </c>
      <c r="AE141" s="18" t="str">
        <f t="shared" si="114"/>
        <v>Sep-22F</v>
      </c>
      <c r="AF141" s="18" t="str">
        <f t="shared" si="114"/>
        <v>Oct-22F</v>
      </c>
      <c r="AG141" s="18" t="str">
        <f t="shared" si="114"/>
        <v>Nov-22F</v>
      </c>
      <c r="AH141" s="18" t="str">
        <f t="shared" si="114"/>
        <v>Dec-22F</v>
      </c>
      <c r="AJ141" s="18" t="str">
        <f ca="1">AJ$10</f>
        <v>Q3'20A</v>
      </c>
      <c r="AK141" s="18" t="str">
        <f t="shared" ref="AK141:AW141" ca="1" si="115">AK$10</f>
        <v>Q4'20A</v>
      </c>
      <c r="AL141" s="18" t="str">
        <f t="shared" ca="1" si="115"/>
        <v>Q1'21A</v>
      </c>
      <c r="AM141" s="19" t="str">
        <f t="shared" ca="1" si="115"/>
        <v>Q2'21A</v>
      </c>
      <c r="AN141" s="18" t="str">
        <f t="shared" ca="1" si="115"/>
        <v>Q3'21F</v>
      </c>
      <c r="AO141" s="18" t="str">
        <f t="shared" ca="1" si="115"/>
        <v>Q4'21F</v>
      </c>
      <c r="AP141" s="18" t="str">
        <f t="shared" ca="1" si="115"/>
        <v>Q1'22F</v>
      </c>
      <c r="AQ141" s="18" t="str">
        <f t="shared" ca="1" si="115"/>
        <v>Q2'22F</v>
      </c>
      <c r="AR141" s="18" t="str">
        <f t="shared" ca="1" si="115"/>
        <v>Q3'22F</v>
      </c>
      <c r="AS141" s="18" t="str">
        <f t="shared" ca="1" si="115"/>
        <v>Q4'22F</v>
      </c>
      <c r="AU141" s="18" t="str">
        <f t="shared" ca="1" si="115"/>
        <v>FY20</v>
      </c>
      <c r="AV141" s="18" t="str">
        <f t="shared" ca="1" si="115"/>
        <v>FY21</v>
      </c>
      <c r="AW141" s="18" t="str">
        <f t="shared" ca="1" si="115"/>
        <v>FY22</v>
      </c>
      <c r="AZ141" t="str">
        <f>C144</f>
        <v>Brand Marketing</v>
      </c>
      <c r="BA141" s="6" t="str">
        <f>_xlfn.XLOOKUP(BA$140,[1]REF!$H$3:$H$14,[1]REF!$I$3:$I$14)</f>
        <v>Jan</v>
      </c>
      <c r="BB141" s="6" t="str">
        <f>_xlfn.XLOOKUP(BB$140,[1]REF!$H$3:$H$14,[1]REF!$I$3:$I$14)</f>
        <v>Feb</v>
      </c>
      <c r="BC141" s="6" t="str">
        <f>_xlfn.XLOOKUP(BC$140,[1]REF!$H$3:$H$14,[1]REF!$I$3:$I$14)</f>
        <v>Mar</v>
      </c>
      <c r="BD141" s="6" t="str">
        <f>_xlfn.XLOOKUP(BD$140,[1]REF!$H$3:$H$14,[1]REF!$I$3:$I$14)</f>
        <v>Apr</v>
      </c>
      <c r="BE141" s="6" t="str">
        <f>_xlfn.XLOOKUP(BE$140,[1]REF!$H$3:$H$14,[1]REF!$I$3:$I$14)</f>
        <v>May</v>
      </c>
      <c r="BF141" s="6" t="str">
        <f>_xlfn.XLOOKUP(BF$140,[1]REF!$H$3:$H$14,[1]REF!$I$3:$I$14)</f>
        <v>Jun</v>
      </c>
      <c r="BG141" s="6" t="str">
        <f>_xlfn.XLOOKUP(BG$140,[1]REF!$H$3:$H$14,[1]REF!$I$3:$I$14)</f>
        <v>Jul</v>
      </c>
      <c r="BH141" s="6" t="str">
        <f>_xlfn.XLOOKUP(BH$140,[1]REF!$H$3:$H$14,[1]REF!$I$3:$I$14)</f>
        <v>Aug</v>
      </c>
      <c r="BI141" s="6" t="str">
        <f>_xlfn.XLOOKUP(BI$140,[1]REF!$H$3:$H$14,[1]REF!$I$3:$I$14)</f>
        <v>Sep</v>
      </c>
      <c r="BJ141" s="6" t="str">
        <f>_xlfn.XLOOKUP(BJ$140,[1]REF!$H$3:$H$14,[1]REF!$I$3:$I$14)</f>
        <v>Oct</v>
      </c>
      <c r="BK141" s="6" t="str">
        <f>_xlfn.XLOOKUP(BK$140,[1]REF!$H$3:$H$14,[1]REF!$I$3:$I$14)</f>
        <v>Nov</v>
      </c>
      <c r="BL141" s="6" t="str">
        <f>_xlfn.XLOOKUP(BL$140,[1]REF!$H$3:$H$14,[1]REF!$I$3:$I$14)</f>
        <v>Dec</v>
      </c>
    </row>
    <row r="142" spans="2:64" x14ac:dyDescent="0.2">
      <c r="C142" s="71" t="s">
        <v>111</v>
      </c>
      <c r="E142" s="58">
        <v>1076.0245631271903</v>
      </c>
      <c r="F142" s="58">
        <v>859.26920010937727</v>
      </c>
      <c r="G142" s="58">
        <v>836.52248099866563</v>
      </c>
      <c r="H142" s="58">
        <v>856.34353116215016</v>
      </c>
      <c r="I142" s="58">
        <v>867.96401434551092</v>
      </c>
      <c r="J142" s="59">
        <v>1202.7235625694784</v>
      </c>
      <c r="K142" s="58">
        <v>999.30327627363522</v>
      </c>
      <c r="L142" s="58">
        <v>871.88490961518551</v>
      </c>
      <c r="M142" s="58">
        <v>872.77456928733591</v>
      </c>
      <c r="N142" s="58">
        <v>1197.1562696903486</v>
      </c>
      <c r="O142" s="58">
        <v>1183.4780841029253</v>
      </c>
      <c r="P142" s="60">
        <v>1250.1871922417429</v>
      </c>
      <c r="Q142" s="58">
        <v>1132.808116934413</v>
      </c>
      <c r="R142" s="58">
        <v>924.28989330578554</v>
      </c>
      <c r="S142" s="58">
        <v>881.48613024466636</v>
      </c>
      <c r="T142" s="58">
        <v>897.76544844326088</v>
      </c>
      <c r="U142" s="58">
        <v>916.16025491466962</v>
      </c>
      <c r="V142" s="58">
        <v>1204.916359100057</v>
      </c>
      <c r="W142" s="58">
        <v>1057.131134894355</v>
      </c>
      <c r="X142" s="58">
        <v>909.33744398212934</v>
      </c>
      <c r="Y142" s="58">
        <v>897.40647334653238</v>
      </c>
      <c r="Z142" s="58">
        <v>1285.0423590273199</v>
      </c>
      <c r="AA142" s="58">
        <v>1205.9135471960133</v>
      </c>
      <c r="AB142" s="58">
        <v>1313.002590548946</v>
      </c>
      <c r="AC142" s="58">
        <v>1185.0629560611505</v>
      </c>
      <c r="AD142" s="58">
        <v>967.14486205329683</v>
      </c>
      <c r="AE142" s="58">
        <v>922.39951981466538</v>
      </c>
      <c r="AF142" s="58">
        <v>939.58156234665057</v>
      </c>
      <c r="AG142" s="58">
        <v>958.88043189295263</v>
      </c>
      <c r="AH142" s="58">
        <v>1260.9299508968747</v>
      </c>
      <c r="AM142" s="2"/>
      <c r="AZ142">
        <v>2020</v>
      </c>
      <c r="BA142" s="117"/>
      <c r="BB142" s="117"/>
      <c r="BC142" s="117"/>
      <c r="BD142" s="117"/>
      <c r="BE142" s="117"/>
      <c r="BF142" s="117"/>
      <c r="BG142" s="22" cm="1">
        <f t="array" ref="BG142">INDEX($E$144:$AH$144,1,MATCH(BG$140&amp;$AZ142,$E$7:$AH$7&amp;$E$5:$AH$5,0))</f>
        <v>85</v>
      </c>
      <c r="BH142" s="22" cm="1">
        <f t="array" ref="BH142">INDEX($E$144:$AH$144,1,MATCH(BH$140&amp;$AZ142,$E$7:$AH$7&amp;$E$5:$AH$5,0))</f>
        <v>73</v>
      </c>
      <c r="BI142" s="22" cm="1">
        <f t="array" ref="BI142">INDEX($E$144:$AH$144,1,MATCH(BI$140&amp;$AZ142,$E$7:$AH$7&amp;$E$5:$AH$5,0))</f>
        <v>45</v>
      </c>
      <c r="BJ142" s="22" cm="1">
        <f t="array" ref="BJ142">INDEX($E$144:$AH$144,1,MATCH(BJ$140&amp;$AZ142,$E$7:$AH$7&amp;$E$5:$AH$5,0))</f>
        <v>13</v>
      </c>
      <c r="BK142" s="22" cm="1">
        <f t="array" ref="BK142">INDEX($E$144:$AH$144,1,MATCH(BK$140&amp;$AZ142,$E$7:$AH$7&amp;$E$5:$AH$5,0))</f>
        <v>13</v>
      </c>
      <c r="BL142" s="22" cm="1">
        <f t="array" ref="BL142">INDEX($E$144:$AB$144,1,MATCH(BL$140&amp;$AZ142,$E$7:$AB$7&amp;$E$5:$AB$5,0))</f>
        <v>37</v>
      </c>
    </row>
    <row r="143" spans="2:64" x14ac:dyDescent="0.2">
      <c r="C143" s="116" t="s">
        <v>112</v>
      </c>
      <c r="D143" s="32"/>
      <c r="E143" s="81">
        <f>E144/E142</f>
        <v>7.8994479227285697E-2</v>
      </c>
      <c r="F143" s="81">
        <f t="shared" ref="F143:AH143" si="116">F144/F142</f>
        <v>8.4955913688873938E-2</v>
      </c>
      <c r="G143" s="81">
        <f t="shared" si="116"/>
        <v>5.3794131086922672E-2</v>
      </c>
      <c r="H143" s="81">
        <f t="shared" si="116"/>
        <v>1.5180823497735311E-2</v>
      </c>
      <c r="I143" s="81">
        <f t="shared" si="116"/>
        <v>1.4977579467741715E-2</v>
      </c>
      <c r="J143" s="81">
        <f t="shared" si="116"/>
        <v>3.0763511376590828E-2</v>
      </c>
      <c r="K143" s="81">
        <f t="shared" si="116"/>
        <v>4.5031374426994106E-2</v>
      </c>
      <c r="L143" s="81">
        <f t="shared" si="116"/>
        <v>2.4085747749973727E-2</v>
      </c>
      <c r="M143" s="81">
        <f t="shared" si="116"/>
        <v>2.4061196028142239E-2</v>
      </c>
      <c r="N143" s="81">
        <f t="shared" si="116"/>
        <v>3.7589077666226073E-2</v>
      </c>
      <c r="O143" s="81">
        <f t="shared" si="116"/>
        <v>7.1822200294000271E-2</v>
      </c>
      <c r="P143" s="81">
        <f t="shared" si="116"/>
        <v>9.9985026862944637E-2</v>
      </c>
      <c r="Q143" s="81">
        <f t="shared" si="116"/>
        <v>7.5034773082334222E-2</v>
      </c>
      <c r="R143" s="81">
        <f t="shared" si="116"/>
        <v>7.8979550170034371E-2</v>
      </c>
      <c r="S143" s="81">
        <f t="shared" si="116"/>
        <v>5.1050150939425158E-2</v>
      </c>
      <c r="T143" s="81">
        <f t="shared" si="116"/>
        <v>1.4480396881548738E-2</v>
      </c>
      <c r="U143" s="81">
        <f t="shared" si="116"/>
        <v>1.4189657246385141E-2</v>
      </c>
      <c r="V143" s="81">
        <f t="shared" si="116"/>
        <v>3.0707525647369435E-2</v>
      </c>
      <c r="W143" s="81">
        <f t="shared" si="116"/>
        <v>4.2568039588103797E-2</v>
      </c>
      <c r="X143" s="81">
        <f t="shared" si="116"/>
        <v>2.309373724679999E-2</v>
      </c>
      <c r="Y143" s="81">
        <f t="shared" si="116"/>
        <v>2.3400767237268274E-2</v>
      </c>
      <c r="Z143" s="81">
        <f t="shared" si="116"/>
        <v>3.5018300901817435E-2</v>
      </c>
      <c r="AA143" s="81">
        <f t="shared" si="116"/>
        <v>7.0485981518029844E-2</v>
      </c>
      <c r="AB143" s="81">
        <f t="shared" si="116"/>
        <v>9.5201640042263308E-2</v>
      </c>
      <c r="AC143" s="81">
        <f t="shared" si="116"/>
        <v>7.1726147176617933E-2</v>
      </c>
      <c r="AD143" s="81">
        <f t="shared" si="116"/>
        <v>7.5479902612538674E-2</v>
      </c>
      <c r="AE143" s="81">
        <f t="shared" si="116"/>
        <v>4.8785801632942848E-2</v>
      </c>
      <c r="AF143" s="81">
        <f t="shared" si="116"/>
        <v>1.383594625625887E-2</v>
      </c>
      <c r="AG143" s="81">
        <f t="shared" si="116"/>
        <v>1.3557477624542132E-2</v>
      </c>
      <c r="AH143" s="81">
        <f t="shared" si="116"/>
        <v>2.9343422268368377E-2</v>
      </c>
      <c r="AJ143" s="32"/>
      <c r="AK143" s="32"/>
      <c r="AL143" s="32"/>
      <c r="AM143" s="63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Z143">
        <v>2021</v>
      </c>
      <c r="BA143" s="118" cm="1">
        <f t="array" ref="BA143">INDEX($E$144:$AH$144,1,MATCH(BA$140&amp;$AZ143,$E$7:$AH$7&amp;$E$5:$AH$5,0))</f>
        <v>45</v>
      </c>
      <c r="BB143" s="118" cm="1">
        <f t="array" ref="BB143">INDEX($E$144:$AH$144,1,MATCH(BB$140&amp;$AZ143,$E$7:$AH$7&amp;$E$5:$AH$5,0))</f>
        <v>21</v>
      </c>
      <c r="BC143" s="118" cm="1">
        <f t="array" ref="BC143">INDEX($E$144:$AH$144,1,MATCH(BC$140&amp;$AZ143,$E$7:$AH$7&amp;$E$5:$AH$5,0))</f>
        <v>21</v>
      </c>
      <c r="BD143" s="118" cm="1">
        <f t="array" ref="BD143">INDEX($E$144:$AH$144,1,MATCH(BD$140&amp;$AZ143,$E$7:$AH$7&amp;$E$5:$AH$5,0))</f>
        <v>45</v>
      </c>
      <c r="BE143" s="118" cm="1">
        <f t="array" ref="BE143">INDEX($E$144:$AH$144,1,MATCH(BE$140&amp;$AZ143,$E$7:$AH$7&amp;$E$5:$AH$5,0))</f>
        <v>85</v>
      </c>
      <c r="BF143" s="118" cm="1">
        <f t="array" ref="BF143">INDEX($E$144:$AH$144,1,MATCH(BF$140&amp;$AZ143,$E$7:$AH$7&amp;$E$5:$AH$5,0))</f>
        <v>125</v>
      </c>
      <c r="BG143" s="118" cm="1">
        <f t="array" ref="BG143">INDEX($E$144:$AH$144,1,MATCH(BG$140&amp;$AZ143,$E$7:$AH$7&amp;$E$5:$AH$5,0))</f>
        <v>85</v>
      </c>
      <c r="BH143" s="118" cm="1">
        <f t="array" ref="BH143">INDEX($E$144:$AH$144,1,MATCH(BH$140&amp;$AZ143,$E$7:$AH$7&amp;$E$5:$AH$5,0))</f>
        <v>73</v>
      </c>
      <c r="BI143" s="118" cm="1">
        <f t="array" ref="BI143">INDEX($E$144:$AH$144,1,MATCH(BI$140&amp;$AZ143,$E$7:$AH$7&amp;$E$5:$AH$5,0))</f>
        <v>45</v>
      </c>
      <c r="BJ143" s="118" cm="1">
        <f t="array" ref="BJ143">INDEX($E$144:$AH$144,1,MATCH(BJ$140&amp;$AZ143,$E$7:$AH$7&amp;$E$5:$AH$5,0))</f>
        <v>13</v>
      </c>
      <c r="BK143" s="118" cm="1">
        <f t="array" ref="BK143">INDEX($E$144:$AH$144,1,MATCH(BK$140&amp;$AZ143,$E$7:$AH$7&amp;$E$5:$AH$5,0))</f>
        <v>13</v>
      </c>
      <c r="BL143" s="118" cm="1">
        <f t="array" ref="BL143">INDEX($E$144:$AH$144,1,MATCH(BL$140&amp;$AZ143,$E$7:$AH$7&amp;$E$5:$AH$5,0))</f>
        <v>37</v>
      </c>
    </row>
    <row r="144" spans="2:64" x14ac:dyDescent="0.2">
      <c r="B144" t="s">
        <v>12</v>
      </c>
      <c r="C144" s="20" t="s">
        <v>113</v>
      </c>
      <c r="E144" s="66">
        <v>85</v>
      </c>
      <c r="F144" s="66">
        <v>73</v>
      </c>
      <c r="G144" s="66">
        <v>45</v>
      </c>
      <c r="H144" s="66">
        <v>13</v>
      </c>
      <c r="I144" s="66">
        <v>13</v>
      </c>
      <c r="J144" s="41">
        <v>37</v>
      </c>
      <c r="K144" s="66">
        <v>45</v>
      </c>
      <c r="L144" s="66">
        <v>21</v>
      </c>
      <c r="M144" s="66">
        <v>21</v>
      </c>
      <c r="N144" s="66">
        <v>45</v>
      </c>
      <c r="O144" s="66">
        <v>85</v>
      </c>
      <c r="P144" s="42">
        <v>125</v>
      </c>
      <c r="Q144" s="66">
        <f>E144</f>
        <v>85</v>
      </c>
      <c r="R144" s="66">
        <f t="shared" ref="R144:AH144" si="117">F144</f>
        <v>73</v>
      </c>
      <c r="S144" s="66">
        <f t="shared" si="117"/>
        <v>45</v>
      </c>
      <c r="T144" s="66">
        <f t="shared" si="117"/>
        <v>13</v>
      </c>
      <c r="U144" s="66">
        <f t="shared" si="117"/>
        <v>13</v>
      </c>
      <c r="V144" s="66">
        <f t="shared" si="117"/>
        <v>37</v>
      </c>
      <c r="W144" s="66">
        <f t="shared" si="117"/>
        <v>45</v>
      </c>
      <c r="X144" s="66">
        <f t="shared" si="117"/>
        <v>21</v>
      </c>
      <c r="Y144" s="66">
        <f t="shared" si="117"/>
        <v>21</v>
      </c>
      <c r="Z144" s="66">
        <f t="shared" si="117"/>
        <v>45</v>
      </c>
      <c r="AA144" s="66">
        <f t="shared" si="117"/>
        <v>85</v>
      </c>
      <c r="AB144" s="66">
        <f t="shared" si="117"/>
        <v>125</v>
      </c>
      <c r="AC144" s="66">
        <f t="shared" si="117"/>
        <v>85</v>
      </c>
      <c r="AD144" s="66">
        <f t="shared" si="117"/>
        <v>73</v>
      </c>
      <c r="AE144" s="66">
        <f t="shared" si="117"/>
        <v>45</v>
      </c>
      <c r="AF144" s="66">
        <f t="shared" si="117"/>
        <v>13</v>
      </c>
      <c r="AG144" s="66">
        <f t="shared" si="117"/>
        <v>13</v>
      </c>
      <c r="AH144" s="66">
        <f t="shared" si="117"/>
        <v>37</v>
      </c>
      <c r="AJ144" s="22" cm="1">
        <f t="array" aca="1" ref="AJ144" ca="1">SUMPRODUCT(($E144:$AH144)*(AJ$3&amp;AJ$4&amp;AJ$5&amp;AJ$6=$E$3:$AH$3&amp;$E$4:$AH$4&amp;$E$5:$AH$5&amp;$E$6:$AH$6))</f>
        <v>203</v>
      </c>
      <c r="AK144" s="22" cm="1">
        <f t="array" aca="1" ref="AK144" ca="1">SUMPRODUCT(($E144:$AH144)*(AK$3=$E$3:$AH$3)*(AK$4=$E$4:$AH$4)*(AK$5=$E$5:$AH$5)*(AK$6=$E$6:$AH$6))</f>
        <v>63</v>
      </c>
      <c r="AL144" s="22" cm="1">
        <f t="array" aca="1" ref="AL144" ca="1">SUMPRODUCT(($E144:$AH144)*(AL$3=$E$3:$AH$3)*(AL$4=$E$4:$AH$4)*(AL$5=$E$5:$AH$5)*(AL$6=$E$6:$AH$6))</f>
        <v>87</v>
      </c>
      <c r="AM144" s="23" cm="1">
        <f t="array" aca="1" ref="AM144" ca="1">SUMPRODUCT(($E144:$AH144)*(AM$3=$E$3:$AH$3)*(AM$4=$E$4:$AH$4)*(AM$5=$E$5:$AH$5)*(AM$6=$E$6:$AH$6))</f>
        <v>255</v>
      </c>
      <c r="AN144" s="22" cm="1">
        <f t="array" aca="1" ref="AN144" ca="1">SUMPRODUCT(($E144:$AH144)*(AN$3=$E$3:$AH$3)*(AN$4=$E$4:$AH$4)*(AN$5=$E$5:$AH$5)*(AN$6=$E$6:$AH$6))</f>
        <v>203</v>
      </c>
      <c r="AO144" s="22" cm="1">
        <f t="array" aca="1" ref="AO144" ca="1">SUMPRODUCT(($E144:$AH144)*(AO$3=$E$3:$AH$3)*(AO$4=$E$4:$AH$4)*(AO$5=$E$5:$AH$5)*(AO$6=$E$6:$AH$6))</f>
        <v>63</v>
      </c>
      <c r="AP144" s="22" cm="1">
        <f t="array" aca="1" ref="AP144" ca="1">SUMPRODUCT(($E144:$AH144)*(AP$3=$E$3:$AH$3)*(AP$4=$E$4:$AH$4)*(AP$5=$E$5:$AH$5)*(AP$6=$E$6:$AH$6))</f>
        <v>87</v>
      </c>
      <c r="AQ144" s="22" cm="1">
        <f t="array" aca="1" ref="AQ144" ca="1">SUMPRODUCT(($E144:$AH144)*(AQ$3=$E$3:$AH$3)*(AQ$4=$E$4:$AH$4)*(AQ$5=$E$5:$AH$5)*(AQ$6=$E$6:$AH$6))</f>
        <v>255</v>
      </c>
      <c r="AR144" s="22" cm="1">
        <f t="array" aca="1" ref="AR144" ca="1">SUMPRODUCT(($E144:$AH144)*(AR$3=$E$3:$AH$3)*(AR$4=$E$4:$AH$4)*(AR$5=$E$5:$AH$5)*(AR$6=$E$6:$AH$6))</f>
        <v>203</v>
      </c>
      <c r="AS144" s="22" cm="1">
        <f t="array" aca="1" ref="AS144" ca="1">SUMPRODUCT(($E144:$AH144)*(AS$3=$E$3:$AH$3)*(AS$4=$E$4:$AH$4)*(AS$5=$E$5:$AH$5)*(AS$6=$E$6:$AH$6))</f>
        <v>63</v>
      </c>
      <c r="AT144" s="22"/>
      <c r="AU144" s="22" cm="1">
        <f t="array" aca="1" ref="AU144" ca="1">SUMPRODUCT(($E144:$AH144)*(AU$5=$E$5:$AH$5))</f>
        <v>266</v>
      </c>
      <c r="AV144" s="22" cm="1">
        <f t="array" aca="1" ref="AV144" ca="1">SUMPRODUCT(($E144:$AH144)*(AV$5=$E$5:$AH$5))</f>
        <v>608</v>
      </c>
      <c r="AW144" s="22" cm="1">
        <f t="array" aca="1" ref="AW144" ca="1">SUMPRODUCT(($E144:$AH144)*(AW$5=$E$5:$AH$5))</f>
        <v>608</v>
      </c>
      <c r="AZ144">
        <v>2022</v>
      </c>
      <c r="BA144" s="118" cm="1">
        <f t="array" ref="BA144">INDEX($E$144:$AH$144,1,MATCH(BA$140&amp;$AZ144,$E$7:$AH$7&amp;$E$5:$AH$5,0))</f>
        <v>45</v>
      </c>
      <c r="BB144" s="118" cm="1">
        <f t="array" ref="BB144">INDEX($E$144:$AH$144,1,MATCH(BB$140&amp;$AZ144,$E$7:$AH$7&amp;$E$5:$AH$5,0))</f>
        <v>21</v>
      </c>
      <c r="BC144" s="118" cm="1">
        <f t="array" ref="BC144">INDEX($E$144:$AH$144,1,MATCH(BC$140&amp;$AZ144,$E$7:$AH$7&amp;$E$5:$AH$5,0))</f>
        <v>21</v>
      </c>
      <c r="BD144" s="118" cm="1">
        <f t="array" ref="BD144">INDEX($E$144:$AH$144,1,MATCH(BD$140&amp;$AZ144,$E$7:$AH$7&amp;$E$5:$AH$5,0))</f>
        <v>45</v>
      </c>
      <c r="BE144" s="118" cm="1">
        <f t="array" ref="BE144">INDEX($E$144:$AH$144,1,MATCH(BE$140&amp;$AZ144,$E$7:$AH$7&amp;$E$5:$AH$5,0))</f>
        <v>85</v>
      </c>
      <c r="BF144" s="118" cm="1">
        <f t="array" ref="BF144">INDEX($E$144:$AH$144,1,MATCH(BF$140&amp;$AZ144,$E$7:$AH$7&amp;$E$5:$AH$5,0))</f>
        <v>125</v>
      </c>
      <c r="BG144" s="118" cm="1">
        <f t="array" ref="BG144">INDEX($E$144:$AH$144,1,MATCH(BG$140&amp;$AZ144,$E$7:$AH$7&amp;$E$5:$AH$5,0))</f>
        <v>85</v>
      </c>
      <c r="BH144" s="118" cm="1">
        <f t="array" ref="BH144">INDEX($E$144:$AH$144,1,MATCH(BH$140&amp;$AZ144,$E$7:$AH$7&amp;$E$5:$AH$5,0))</f>
        <v>73</v>
      </c>
      <c r="BI144" s="118" cm="1">
        <f t="array" ref="BI144">INDEX($E$144:$AH$144,1,MATCH(BI$140&amp;$AZ144,$E$7:$AH$7&amp;$E$5:$AH$5,0))</f>
        <v>45</v>
      </c>
      <c r="BJ144" s="118" cm="1">
        <f t="array" ref="BJ144">INDEX($E$144:$AH$144,1,MATCH(BJ$140&amp;$AZ144,$E$7:$AH$7&amp;$E$5:$AH$5,0))</f>
        <v>13</v>
      </c>
      <c r="BK144" s="118" cm="1">
        <f t="array" ref="BK144">INDEX($E$144:$AH$144,1,MATCH(BK$140&amp;$AZ144,$E$7:$AH$7&amp;$E$5:$AH$5,0))</f>
        <v>13</v>
      </c>
      <c r="BL144" s="118" cm="1">
        <f t="array" ref="BL144">INDEX($E$144:$AH$144,1,MATCH(BL$140&amp;$AZ144,$E$7:$AH$7&amp;$E$5:$AH$5,0))</f>
        <v>37</v>
      </c>
    </row>
    <row r="145" spans="3:53" x14ac:dyDescent="0.2">
      <c r="C145" s="20"/>
      <c r="E145" s="119"/>
      <c r="F145" s="119"/>
      <c r="G145" s="119"/>
      <c r="H145" s="119"/>
      <c r="I145" s="119"/>
      <c r="J145" s="69"/>
      <c r="K145" s="119"/>
      <c r="L145" s="119"/>
      <c r="M145" s="119"/>
      <c r="N145" s="119"/>
      <c r="O145" s="119"/>
      <c r="P145" s="70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M145" s="2"/>
    </row>
    <row r="146" spans="3:53" x14ac:dyDescent="0.2">
      <c r="C146" s="20" t="s">
        <v>114</v>
      </c>
      <c r="E146" s="119"/>
      <c r="F146" s="119"/>
      <c r="G146" s="119"/>
      <c r="H146" s="119"/>
      <c r="I146" s="119"/>
      <c r="J146" s="69"/>
      <c r="K146" s="119"/>
      <c r="L146" s="119"/>
      <c r="M146" s="119"/>
      <c r="N146" s="119"/>
      <c r="O146" s="119"/>
      <c r="P146" s="70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M146" s="2"/>
    </row>
    <row r="147" spans="3:53" x14ac:dyDescent="0.2">
      <c r="C147" s="71" t="s">
        <v>115</v>
      </c>
      <c r="E147" s="119"/>
      <c r="F147" s="119"/>
      <c r="G147" s="119"/>
      <c r="H147" s="119"/>
      <c r="I147" s="119"/>
      <c r="J147" s="69"/>
      <c r="K147" s="119"/>
      <c r="L147" s="119"/>
      <c r="M147" s="119"/>
      <c r="N147" s="119"/>
      <c r="O147" s="119"/>
      <c r="P147" s="70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M147" s="2"/>
    </row>
    <row r="148" spans="3:53" x14ac:dyDescent="0.2">
      <c r="C148" s="120" t="s">
        <v>116</v>
      </c>
      <c r="D148" s="32"/>
      <c r="E148" s="45">
        <v>15</v>
      </c>
      <c r="F148" s="45">
        <v>15</v>
      </c>
      <c r="G148" s="45">
        <v>15</v>
      </c>
      <c r="H148" s="45">
        <v>15</v>
      </c>
      <c r="I148" s="45">
        <v>15</v>
      </c>
      <c r="J148" s="45">
        <v>15</v>
      </c>
      <c r="K148" s="45">
        <v>15</v>
      </c>
      <c r="L148" s="45">
        <v>15</v>
      </c>
      <c r="M148" s="45">
        <v>15</v>
      </c>
      <c r="N148" s="45">
        <v>15</v>
      </c>
      <c r="O148" s="45">
        <v>15</v>
      </c>
      <c r="P148" s="46">
        <v>15</v>
      </c>
      <c r="Q148" s="45">
        <v>18</v>
      </c>
      <c r="R148" s="45">
        <f>Q148</f>
        <v>18</v>
      </c>
      <c r="S148" s="45">
        <f t="shared" ref="S148:AH148" si="118">R148</f>
        <v>18</v>
      </c>
      <c r="T148" s="45">
        <f t="shared" si="118"/>
        <v>18</v>
      </c>
      <c r="U148" s="45">
        <f t="shared" si="118"/>
        <v>18</v>
      </c>
      <c r="V148" s="45">
        <f t="shared" si="118"/>
        <v>18</v>
      </c>
      <c r="W148" s="45">
        <f t="shared" si="118"/>
        <v>18</v>
      </c>
      <c r="X148" s="45">
        <f t="shared" si="118"/>
        <v>18</v>
      </c>
      <c r="Y148" s="45">
        <f t="shared" si="118"/>
        <v>18</v>
      </c>
      <c r="Z148" s="45">
        <f t="shared" si="118"/>
        <v>18</v>
      </c>
      <c r="AA148" s="45">
        <f t="shared" si="118"/>
        <v>18</v>
      </c>
      <c r="AB148" s="45">
        <f t="shared" si="118"/>
        <v>18</v>
      </c>
      <c r="AC148" s="45">
        <f t="shared" si="118"/>
        <v>18</v>
      </c>
      <c r="AD148" s="45">
        <f t="shared" si="118"/>
        <v>18</v>
      </c>
      <c r="AE148" s="45">
        <f t="shared" si="118"/>
        <v>18</v>
      </c>
      <c r="AF148" s="45">
        <f t="shared" si="118"/>
        <v>18</v>
      </c>
      <c r="AG148" s="45">
        <f t="shared" si="118"/>
        <v>18</v>
      </c>
      <c r="AH148" s="45">
        <f t="shared" si="118"/>
        <v>18</v>
      </c>
      <c r="AJ148" s="32"/>
      <c r="AK148" s="32"/>
      <c r="AL148" s="32"/>
      <c r="AM148" s="63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</row>
    <row r="149" spans="3:53" x14ac:dyDescent="0.2">
      <c r="C149" s="71" t="s">
        <v>117</v>
      </c>
      <c r="E149" s="22">
        <f>E148</f>
        <v>15</v>
      </c>
      <c r="F149" s="22">
        <f t="shared" ref="F149:AH149" si="119">F148</f>
        <v>15</v>
      </c>
      <c r="G149" s="22">
        <f t="shared" si="119"/>
        <v>15</v>
      </c>
      <c r="H149" s="22">
        <f t="shared" si="119"/>
        <v>15</v>
      </c>
      <c r="I149" s="22">
        <f t="shared" si="119"/>
        <v>15</v>
      </c>
      <c r="J149" s="22">
        <f t="shared" si="119"/>
        <v>15</v>
      </c>
      <c r="K149" s="22">
        <f t="shared" si="119"/>
        <v>15</v>
      </c>
      <c r="L149" s="22">
        <f t="shared" si="119"/>
        <v>15</v>
      </c>
      <c r="M149" s="22">
        <f t="shared" si="119"/>
        <v>15</v>
      </c>
      <c r="N149" s="22">
        <f t="shared" si="119"/>
        <v>15</v>
      </c>
      <c r="O149" s="22">
        <f t="shared" si="119"/>
        <v>15</v>
      </c>
      <c r="P149" s="22">
        <f t="shared" si="119"/>
        <v>15</v>
      </c>
      <c r="Q149" s="22">
        <f t="shared" si="119"/>
        <v>18</v>
      </c>
      <c r="R149" s="22">
        <f t="shared" si="119"/>
        <v>18</v>
      </c>
      <c r="S149" s="22">
        <f t="shared" si="119"/>
        <v>18</v>
      </c>
      <c r="T149" s="22">
        <f t="shared" si="119"/>
        <v>18</v>
      </c>
      <c r="U149" s="22">
        <f t="shared" si="119"/>
        <v>18</v>
      </c>
      <c r="V149" s="22">
        <f t="shared" si="119"/>
        <v>18</v>
      </c>
      <c r="W149" s="22">
        <f t="shared" si="119"/>
        <v>18</v>
      </c>
      <c r="X149" s="22">
        <f t="shared" si="119"/>
        <v>18</v>
      </c>
      <c r="Y149" s="22">
        <f t="shared" si="119"/>
        <v>18</v>
      </c>
      <c r="Z149" s="22">
        <f t="shared" si="119"/>
        <v>18</v>
      </c>
      <c r="AA149" s="22">
        <f t="shared" si="119"/>
        <v>18</v>
      </c>
      <c r="AB149" s="22">
        <f t="shared" si="119"/>
        <v>18</v>
      </c>
      <c r="AC149" s="22">
        <f t="shared" si="119"/>
        <v>18</v>
      </c>
      <c r="AD149" s="22">
        <f t="shared" si="119"/>
        <v>18</v>
      </c>
      <c r="AE149" s="22">
        <f t="shared" si="119"/>
        <v>18</v>
      </c>
      <c r="AF149" s="22">
        <f t="shared" si="119"/>
        <v>18</v>
      </c>
      <c r="AG149" s="22">
        <f t="shared" si="119"/>
        <v>18</v>
      </c>
      <c r="AH149" s="22">
        <f t="shared" si="119"/>
        <v>18</v>
      </c>
      <c r="AJ149" s="22" cm="1">
        <f t="array" aca="1" ref="AJ149" ca="1">SUMPRODUCT(($E149:$AH149)*(AJ$3&amp;AJ$4&amp;AJ$5&amp;AJ$6=$E$3:$AH$3&amp;$E$4:$AH$4&amp;$E$5:$AH$5&amp;$E$6:$AH$6))</f>
        <v>45</v>
      </c>
      <c r="AK149" s="22" cm="1">
        <f t="array" aca="1" ref="AK149" ca="1">SUMPRODUCT(($E149:$AH149)*(AK$3=$E$3:$AH$3)*(AK$4=$E$4:$AH$4)*(AK$5=$E$5:$AH$5)*(AK$6=$E$6:$AH$6))</f>
        <v>45</v>
      </c>
      <c r="AL149" s="22" cm="1">
        <f t="array" aca="1" ref="AL149" ca="1">SUMPRODUCT(($E149:$AH149)*(AL$3=$E$3:$AH$3)*(AL$4=$E$4:$AH$4)*(AL$5=$E$5:$AH$5)*(AL$6=$E$6:$AH$6))</f>
        <v>45</v>
      </c>
      <c r="AM149" s="23" cm="1">
        <f t="array" aca="1" ref="AM149" ca="1">SUMPRODUCT(($E149:$AH149)*(AM$3=$E$3:$AH$3)*(AM$4=$E$4:$AH$4)*(AM$5=$E$5:$AH$5)*(AM$6=$E$6:$AH$6))</f>
        <v>45</v>
      </c>
      <c r="AN149" s="22" cm="1">
        <f t="array" aca="1" ref="AN149" ca="1">SUMPRODUCT(($E149:$AH149)*(AN$3=$E$3:$AH$3)*(AN$4=$E$4:$AH$4)*(AN$5=$E$5:$AH$5)*(AN$6=$E$6:$AH$6))</f>
        <v>54</v>
      </c>
      <c r="AO149" s="22" cm="1">
        <f t="array" aca="1" ref="AO149" ca="1">SUMPRODUCT(($E149:$AH149)*(AO$3=$E$3:$AH$3)*(AO$4=$E$4:$AH$4)*(AO$5=$E$5:$AH$5)*(AO$6=$E$6:$AH$6))</f>
        <v>54</v>
      </c>
      <c r="AP149" s="22" cm="1">
        <f t="array" aca="1" ref="AP149" ca="1">SUMPRODUCT(($E149:$AH149)*(AP$3=$E$3:$AH$3)*(AP$4=$E$4:$AH$4)*(AP$5=$E$5:$AH$5)*(AP$6=$E$6:$AH$6))</f>
        <v>54</v>
      </c>
      <c r="AQ149" s="22" cm="1">
        <f t="array" aca="1" ref="AQ149" ca="1">SUMPRODUCT(($E149:$AH149)*(AQ$3=$E$3:$AH$3)*(AQ$4=$E$4:$AH$4)*(AQ$5=$E$5:$AH$5)*(AQ$6=$E$6:$AH$6))</f>
        <v>54</v>
      </c>
      <c r="AR149" s="22" cm="1">
        <f t="array" aca="1" ref="AR149" ca="1">SUMPRODUCT(($E149:$AH149)*(AR$3=$E$3:$AH$3)*(AR$4=$E$4:$AH$4)*(AR$5=$E$5:$AH$5)*(AR$6=$E$6:$AH$6))</f>
        <v>54</v>
      </c>
      <c r="AS149" s="22" cm="1">
        <f t="array" aca="1" ref="AS149" ca="1">SUMPRODUCT(($E149:$AH149)*(AS$3=$E$3:$AH$3)*(AS$4=$E$4:$AH$4)*(AS$5=$E$5:$AH$5)*(AS$6=$E$6:$AH$6))</f>
        <v>54</v>
      </c>
      <c r="AT149" s="22"/>
      <c r="AU149" s="22" cm="1">
        <f t="array" aca="1" ref="AU149" ca="1">SUMPRODUCT(($E149:$AH149)*(AU$5=$E$5:$AH$5))</f>
        <v>90</v>
      </c>
      <c r="AV149" s="22" cm="1">
        <f t="array" aca="1" ref="AV149" ca="1">SUMPRODUCT(($E149:$AH149)*(AV$5=$E$5:$AH$5))</f>
        <v>198</v>
      </c>
      <c r="AW149" s="22" cm="1">
        <f t="array" aca="1" ref="AW149" ca="1">SUMPRODUCT(($E149:$AH149)*(AW$5=$E$5:$AH$5))</f>
        <v>216</v>
      </c>
    </row>
    <row r="150" spans="3:53" x14ac:dyDescent="0.2">
      <c r="C150" s="71"/>
      <c r="E150" s="119"/>
      <c r="F150" s="119"/>
      <c r="G150" s="119"/>
      <c r="H150" s="119"/>
      <c r="I150" s="119"/>
      <c r="J150" s="69"/>
      <c r="K150" s="119"/>
      <c r="L150" s="119"/>
      <c r="M150" s="119"/>
      <c r="N150" s="119"/>
      <c r="O150" s="119"/>
      <c r="P150" s="70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M150" s="2"/>
    </row>
    <row r="151" spans="3:53" x14ac:dyDescent="0.2">
      <c r="C151" s="71" t="s">
        <v>118</v>
      </c>
      <c r="E151" s="119"/>
      <c r="F151" s="119"/>
      <c r="G151" s="119"/>
      <c r="H151" s="119"/>
      <c r="I151" s="119"/>
      <c r="J151" s="69"/>
      <c r="K151" s="119"/>
      <c r="L151" s="119"/>
      <c r="M151" s="119"/>
      <c r="N151" s="119"/>
      <c r="O151" s="119"/>
      <c r="P151" s="70"/>
      <c r="Q151" s="121" t="s">
        <v>55</v>
      </c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M151" s="2"/>
    </row>
    <row r="152" spans="3:53" x14ac:dyDescent="0.2">
      <c r="C152" s="122" t="s">
        <v>119</v>
      </c>
      <c r="E152" s="73">
        <v>260240.43562125921</v>
      </c>
      <c r="F152" s="73">
        <v>230509.93525365114</v>
      </c>
      <c r="G152" s="73">
        <v>198327.34520530072</v>
      </c>
      <c r="H152" s="73">
        <v>206511.92080969442</v>
      </c>
      <c r="I152" s="73">
        <v>183375.69470653331</v>
      </c>
      <c r="J152" s="74">
        <v>217599.55551154693</v>
      </c>
      <c r="K152" s="73">
        <v>250940.26467379177</v>
      </c>
      <c r="L152" s="73">
        <v>216825.70680027452</v>
      </c>
      <c r="M152" s="73">
        <v>198340.23793072524</v>
      </c>
      <c r="N152" s="73">
        <v>232561.85068582834</v>
      </c>
      <c r="O152" s="73">
        <v>241296.02111192641</v>
      </c>
      <c r="P152" s="75">
        <v>251714.48475674939</v>
      </c>
      <c r="Q152" s="73">
        <v>270650.05304610956</v>
      </c>
      <c r="R152" s="73">
        <v>239730.33266379719</v>
      </c>
      <c r="S152" s="73">
        <v>206260.43901351275</v>
      </c>
      <c r="T152" s="73">
        <v>214772.39764208221</v>
      </c>
      <c r="U152" s="73">
        <v>190710.72249479464</v>
      </c>
      <c r="V152" s="73">
        <v>226303.53773200882</v>
      </c>
      <c r="W152" s="73">
        <v>260977.87526074346</v>
      </c>
      <c r="X152" s="73">
        <v>225498.73507228552</v>
      </c>
      <c r="Y152" s="73">
        <v>206273.84744795426</v>
      </c>
      <c r="Z152" s="73">
        <v>241864.32471326148</v>
      </c>
      <c r="AA152" s="73">
        <v>250947.86195640347</v>
      </c>
      <c r="AB152" s="73">
        <v>261783.06414701938</v>
      </c>
      <c r="AC152" s="73">
        <v>281476.05516795395</v>
      </c>
      <c r="AD152" s="73">
        <v>249319.54597034908</v>
      </c>
      <c r="AE152" s="73">
        <v>214510.85657405326</v>
      </c>
      <c r="AF152" s="73">
        <v>223363.2935477655</v>
      </c>
      <c r="AG152" s="73">
        <v>198339.15139458643</v>
      </c>
      <c r="AH152" s="73">
        <v>235355.67924128918</v>
      </c>
      <c r="AM152" s="2"/>
    </row>
    <row r="153" spans="3:53" x14ac:dyDescent="0.2">
      <c r="C153" s="120" t="s">
        <v>120</v>
      </c>
      <c r="D153" s="32"/>
      <c r="E153" s="123">
        <f>E154*1000/E152</f>
        <v>1.1571619500000003</v>
      </c>
      <c r="F153" s="123">
        <f t="shared" ref="F153:P153" si="120">F154*1000/F152</f>
        <v>1.1571619500000003</v>
      </c>
      <c r="G153" s="123">
        <f t="shared" si="120"/>
        <v>1.1089468687500001</v>
      </c>
      <c r="H153" s="123">
        <f t="shared" si="120"/>
        <v>1.01251670625</v>
      </c>
      <c r="I153" s="123">
        <f t="shared" si="120"/>
        <v>1.01251670625</v>
      </c>
      <c r="J153" s="123">
        <f t="shared" si="120"/>
        <v>1.0607317875</v>
      </c>
      <c r="K153" s="123">
        <f t="shared" si="120"/>
        <v>0.96430162500000016</v>
      </c>
      <c r="L153" s="123">
        <f t="shared" si="120"/>
        <v>0.96430162500000005</v>
      </c>
      <c r="M153" s="123">
        <f t="shared" si="120"/>
        <v>1.01251670625</v>
      </c>
      <c r="N153" s="123">
        <f t="shared" si="120"/>
        <v>0.96430162500000005</v>
      </c>
      <c r="O153" s="123">
        <f t="shared" si="120"/>
        <v>1.0607317875</v>
      </c>
      <c r="P153" s="123">
        <f t="shared" si="120"/>
        <v>1.1571619500000003</v>
      </c>
      <c r="Q153" s="124">
        <f>AVERAGE($K$153:$P$153)</f>
        <v>1.0205525531250002</v>
      </c>
      <c r="R153" s="124">
        <f t="shared" ref="R153:AH153" si="121">AVERAGE($K$153:$P$153)</f>
        <v>1.0205525531250002</v>
      </c>
      <c r="S153" s="124">
        <f t="shared" si="121"/>
        <v>1.0205525531250002</v>
      </c>
      <c r="T153" s="124">
        <f t="shared" si="121"/>
        <v>1.0205525531250002</v>
      </c>
      <c r="U153" s="124">
        <f t="shared" si="121"/>
        <v>1.0205525531250002</v>
      </c>
      <c r="V153" s="124">
        <f t="shared" si="121"/>
        <v>1.0205525531250002</v>
      </c>
      <c r="W153" s="124">
        <f t="shared" si="121"/>
        <v>1.0205525531250002</v>
      </c>
      <c r="X153" s="124">
        <f t="shared" si="121"/>
        <v>1.0205525531250002</v>
      </c>
      <c r="Y153" s="124">
        <f t="shared" si="121"/>
        <v>1.0205525531250002</v>
      </c>
      <c r="Z153" s="124">
        <f t="shared" si="121"/>
        <v>1.0205525531250002</v>
      </c>
      <c r="AA153" s="124">
        <f t="shared" si="121"/>
        <v>1.0205525531250002</v>
      </c>
      <c r="AB153" s="124">
        <f t="shared" si="121"/>
        <v>1.0205525531250002</v>
      </c>
      <c r="AC153" s="124">
        <f t="shared" si="121"/>
        <v>1.0205525531250002</v>
      </c>
      <c r="AD153" s="124">
        <f t="shared" si="121"/>
        <v>1.0205525531250002</v>
      </c>
      <c r="AE153" s="124">
        <f t="shared" si="121"/>
        <v>1.0205525531250002</v>
      </c>
      <c r="AF153" s="124">
        <f t="shared" si="121"/>
        <v>1.0205525531250002</v>
      </c>
      <c r="AG153" s="124">
        <f t="shared" si="121"/>
        <v>1.0205525531250002</v>
      </c>
      <c r="AH153" s="124">
        <f t="shared" si="121"/>
        <v>1.0205525531250002</v>
      </c>
      <c r="AJ153" s="32"/>
      <c r="AK153" s="32"/>
      <c r="AL153" s="32"/>
      <c r="AM153" s="63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</row>
    <row r="154" spans="3:53" x14ac:dyDescent="0.2">
      <c r="C154" s="71" t="s">
        <v>121</v>
      </c>
      <c r="E154" s="66">
        <v>301.14032995234589</v>
      </c>
      <c r="F154" s="66">
        <v>266.73732617248879</v>
      </c>
      <c r="G154" s="66">
        <v>219.9344884529186</v>
      </c>
      <c r="H154" s="66">
        <v>209.09676985959263</v>
      </c>
      <c r="I154" s="66">
        <v>185.67095441056469</v>
      </c>
      <c r="J154" s="41">
        <v>230.81476547696863</v>
      </c>
      <c r="K154" s="66">
        <v>241.98210500286751</v>
      </c>
      <c r="L154" s="66">
        <v>209.08538140927828</v>
      </c>
      <c r="M154" s="66">
        <v>200.82280442645924</v>
      </c>
      <c r="N154" s="66">
        <v>224.25977052935164</v>
      </c>
      <c r="O154" s="66">
        <v>255.95035979069144</v>
      </c>
      <c r="P154" s="42">
        <v>291.27442402436549</v>
      </c>
      <c r="Q154" s="22">
        <f>Q152*Q153/1000</f>
        <v>276.21260263962387</v>
      </c>
      <c r="R154" s="22">
        <f t="shared" ref="R154:AH154" si="122">R152*R153/1000</f>
        <v>244.65740306154385</v>
      </c>
      <c r="S154" s="22">
        <f t="shared" si="122"/>
        <v>210.49961764392381</v>
      </c>
      <c r="T154" s="22">
        <f t="shared" si="122"/>
        <v>219.18651875440477</v>
      </c>
      <c r="U154" s="22">
        <f t="shared" si="122"/>
        <v>194.63031475037607</v>
      </c>
      <c r="V154" s="22">
        <f t="shared" si="122"/>
        <v>230.95465321362141</v>
      </c>
      <c r="W154" s="22">
        <f t="shared" si="122"/>
        <v>266.34163690648955</v>
      </c>
      <c r="X154" s="22">
        <f t="shared" si="122"/>
        <v>230.13330980447901</v>
      </c>
      <c r="Y154" s="22">
        <f t="shared" si="122"/>
        <v>210.51330165592651</v>
      </c>
      <c r="Z154" s="22">
        <f t="shared" si="122"/>
        <v>246.83525409597306</v>
      </c>
      <c r="AA154" s="22">
        <f t="shared" si="122"/>
        <v>256.10548122086766</v>
      </c>
      <c r="AB154" s="22">
        <f t="shared" si="122"/>
        <v>267.16337448012632</v>
      </c>
      <c r="AC154" s="22">
        <f t="shared" si="122"/>
        <v>287.26110674520879</v>
      </c>
      <c r="AD154" s="22">
        <f t="shared" si="122"/>
        <v>254.4436991840056</v>
      </c>
      <c r="AE154" s="22">
        <f t="shared" si="122"/>
        <v>218.91960234968079</v>
      </c>
      <c r="AF154" s="22">
        <f t="shared" si="122"/>
        <v>227.95397950458096</v>
      </c>
      <c r="AG154" s="22">
        <f t="shared" si="122"/>
        <v>202.41552734039112</v>
      </c>
      <c r="AH154" s="22">
        <f t="shared" si="122"/>
        <v>240.19283934216625</v>
      </c>
      <c r="AJ154" s="22" cm="1">
        <f t="array" aca="1" ref="AJ154" ca="1">SUMPRODUCT(($E154:$AH154)*(AJ$3&amp;AJ$4&amp;AJ$5&amp;AJ$6=$E$3:$AH$3&amp;$E$4:$AH$4&amp;$E$5:$AH$5&amp;$E$6:$AH$6))</f>
        <v>787.8121445777532</v>
      </c>
      <c r="AK154" s="22" cm="1">
        <f t="array" aca="1" ref="AK154" ca="1">SUMPRODUCT(($E154:$AH154)*(AK$3=$E$3:$AH$3)*(AK$4=$E$4:$AH$4)*(AK$5=$E$5:$AH$5)*(AK$6=$E$6:$AH$6))</f>
        <v>625.58248974712592</v>
      </c>
      <c r="AL154" s="22" cm="1">
        <f t="array" aca="1" ref="AL154" ca="1">SUMPRODUCT(($E154:$AH154)*(AL$3=$E$3:$AH$3)*(AL$4=$E$4:$AH$4)*(AL$5=$E$5:$AH$5)*(AL$6=$E$6:$AH$6))</f>
        <v>651.8902908386051</v>
      </c>
      <c r="AM154" s="23" cm="1">
        <f t="array" aca="1" ref="AM154" ca="1">SUMPRODUCT(($E154:$AH154)*(AM$3=$E$3:$AH$3)*(AM$4=$E$4:$AH$4)*(AM$5=$E$5:$AH$5)*(AM$6=$E$6:$AH$6))</f>
        <v>771.48455434440848</v>
      </c>
      <c r="AN154" s="22" cm="1">
        <f t="array" aca="1" ref="AN154" ca="1">SUMPRODUCT(($E154:$AH154)*(AN$3=$E$3:$AH$3)*(AN$4=$E$4:$AH$4)*(AN$5=$E$5:$AH$5)*(AN$6=$E$6:$AH$6))</f>
        <v>731.36962334509144</v>
      </c>
      <c r="AO154" s="22" cm="1">
        <f t="array" aca="1" ref="AO154" ca="1">SUMPRODUCT(($E154:$AH154)*(AO$3=$E$3:$AH$3)*(AO$4=$E$4:$AH$4)*(AO$5=$E$5:$AH$5)*(AO$6=$E$6:$AH$6))</f>
        <v>644.77148671840223</v>
      </c>
      <c r="AP154" s="22" cm="1">
        <f t="array" aca="1" ref="AP154" ca="1">SUMPRODUCT(($E154:$AH154)*(AP$3=$E$3:$AH$3)*(AP$4=$E$4:$AH$4)*(AP$5=$E$5:$AH$5)*(AP$6=$E$6:$AH$6))</f>
        <v>706.98824836689505</v>
      </c>
      <c r="AQ154" s="22" cm="1">
        <f t="array" aca="1" ref="AQ154" ca="1">SUMPRODUCT(($E154:$AH154)*(AQ$3=$E$3:$AH$3)*(AQ$4=$E$4:$AH$4)*(AQ$5=$E$5:$AH$5)*(AQ$6=$E$6:$AH$6))</f>
        <v>770.10410979696701</v>
      </c>
      <c r="AR154" s="22" cm="1">
        <f t="array" aca="1" ref="AR154" ca="1">SUMPRODUCT(($E154:$AH154)*(AR$3=$E$3:$AH$3)*(AR$4=$E$4:$AH$4)*(AR$5=$E$5:$AH$5)*(AR$6=$E$6:$AH$6))</f>
        <v>760.6244082788952</v>
      </c>
      <c r="AS154" s="22" cm="1">
        <f t="array" aca="1" ref="AS154" ca="1">SUMPRODUCT(($E154:$AH154)*(AS$3=$E$3:$AH$3)*(AS$4=$E$4:$AH$4)*(AS$5=$E$5:$AH$5)*(AS$6=$E$6:$AH$6))</f>
        <v>670.56234618713836</v>
      </c>
      <c r="AT154" s="22"/>
      <c r="AU154" s="22" cm="1">
        <f t="array" aca="1" ref="AU154" ca="1">SUMPRODUCT(($E154:$AH154)*(AU$5=$E$5:$AH$5))</f>
        <v>1413.3946343248792</v>
      </c>
      <c r="AV154" s="22" cm="1">
        <f t="array" aca="1" ref="AV154" ca="1">SUMPRODUCT(($E154:$AH154)*(AV$5=$E$5:$AH$5))</f>
        <v>2799.5159552465075</v>
      </c>
      <c r="AW154" s="22" cm="1">
        <f t="array" aca="1" ref="AW154" ca="1">SUMPRODUCT(($E154:$AH154)*(AW$5=$E$5:$AH$5))</f>
        <v>2908.2791126298957</v>
      </c>
    </row>
    <row r="155" spans="3:53" x14ac:dyDescent="0.2">
      <c r="C155" s="71"/>
      <c r="E155" s="119"/>
      <c r="F155" s="119"/>
      <c r="G155" s="119"/>
      <c r="H155" s="119"/>
      <c r="I155" s="119"/>
      <c r="J155" s="69"/>
      <c r="K155" s="119"/>
      <c r="L155" s="119"/>
      <c r="M155" s="119"/>
      <c r="N155" s="119"/>
      <c r="O155" s="119"/>
      <c r="P155" s="70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M155" s="2"/>
    </row>
    <row r="156" spans="3:53" x14ac:dyDescent="0.2">
      <c r="C156" s="71" t="s">
        <v>122</v>
      </c>
      <c r="E156" s="125"/>
      <c r="F156" s="119"/>
      <c r="G156" s="119"/>
      <c r="H156" s="119"/>
      <c r="I156" s="119"/>
      <c r="J156" s="69"/>
      <c r="K156" s="119"/>
      <c r="L156" s="119"/>
      <c r="M156" s="119"/>
      <c r="N156" s="119"/>
      <c r="O156" s="119"/>
      <c r="P156" s="70"/>
      <c r="Q156" s="121" t="s">
        <v>55</v>
      </c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M156" s="2"/>
      <c r="BA156" s="126"/>
    </row>
    <row r="157" spans="3:53" x14ac:dyDescent="0.2">
      <c r="C157" s="122" t="s">
        <v>123</v>
      </c>
      <c r="E157" s="73">
        <v>55971.055266467527</v>
      </c>
      <c r="F157" s="73">
        <v>50254.086052397084</v>
      </c>
      <c r="G157" s="73">
        <v>45312.579691087107</v>
      </c>
      <c r="H157" s="73">
        <v>47725.23421171253</v>
      </c>
      <c r="I157" s="73">
        <v>43666.856397975353</v>
      </c>
      <c r="J157" s="74">
        <v>50319.756413845069</v>
      </c>
      <c r="K157" s="73">
        <v>53676.131536539215</v>
      </c>
      <c r="L157" s="73">
        <v>50217.230143148663</v>
      </c>
      <c r="M157" s="73">
        <v>44544.044657853345</v>
      </c>
      <c r="N157" s="73">
        <v>55541.209424923713</v>
      </c>
      <c r="O157" s="73">
        <v>53955.178687652551</v>
      </c>
      <c r="P157" s="75">
        <v>54495.766604981982</v>
      </c>
      <c r="Q157" s="73">
        <v>57370.331648129213</v>
      </c>
      <c r="R157" s="73">
        <v>51510.43820370701</v>
      </c>
      <c r="S157" s="73">
        <v>46445.394183364282</v>
      </c>
      <c r="T157" s="73">
        <v>48918.365067005339</v>
      </c>
      <c r="U157" s="73">
        <v>44758.527807924729</v>
      </c>
      <c r="V157" s="73">
        <v>51577.750324191191</v>
      </c>
      <c r="W157" s="73">
        <v>55018.034824952687</v>
      </c>
      <c r="X157" s="73">
        <v>51472.660896727379</v>
      </c>
      <c r="Y157" s="73">
        <v>45657.645774299672</v>
      </c>
      <c r="Z157" s="73">
        <v>56929.739660546802</v>
      </c>
      <c r="AA157" s="73">
        <v>55304.058154843857</v>
      </c>
      <c r="AB157" s="73">
        <v>55858.16077010653</v>
      </c>
      <c r="AC157" s="73">
        <v>58804.589939332436</v>
      </c>
      <c r="AD157" s="73">
        <v>52798.199158799682</v>
      </c>
      <c r="AE157" s="73">
        <v>47606.529037948385</v>
      </c>
      <c r="AF157" s="73">
        <v>50141.32419368047</v>
      </c>
      <c r="AG157" s="73">
        <v>45877.491003122843</v>
      </c>
      <c r="AH157" s="73">
        <v>52867.194082295966</v>
      </c>
      <c r="AM157" s="2"/>
    </row>
    <row r="158" spans="3:53" x14ac:dyDescent="0.2">
      <c r="C158" s="120" t="s">
        <v>120</v>
      </c>
      <c r="D158" s="32"/>
      <c r="E158" s="123">
        <f>E159*1000/E157</f>
        <v>1.1647124999999998</v>
      </c>
      <c r="F158" s="123">
        <f t="shared" ref="F158:P158" si="123">F159*1000/F157</f>
        <v>1.1245500000000002</v>
      </c>
      <c r="G158" s="123">
        <f t="shared" si="123"/>
        <v>1.0040625000000001</v>
      </c>
      <c r="H158" s="123">
        <f t="shared" si="123"/>
        <v>0.9639000000000002</v>
      </c>
      <c r="I158" s="123">
        <f t="shared" si="123"/>
        <v>0.9639000000000002</v>
      </c>
      <c r="J158" s="123">
        <f t="shared" si="123"/>
        <v>0.9639000000000002</v>
      </c>
      <c r="K158" s="123">
        <f t="shared" si="123"/>
        <v>0.84341250000000001</v>
      </c>
      <c r="L158" s="123">
        <f t="shared" si="123"/>
        <v>0.84341250000000001</v>
      </c>
      <c r="M158" s="123">
        <f t="shared" si="123"/>
        <v>0.883575</v>
      </c>
      <c r="N158" s="123">
        <f t="shared" si="123"/>
        <v>0.84341250000000001</v>
      </c>
      <c r="O158" s="123">
        <f t="shared" si="123"/>
        <v>1.0040625000000001</v>
      </c>
      <c r="P158" s="123">
        <f t="shared" si="123"/>
        <v>1.1245500000000002</v>
      </c>
      <c r="Q158" s="124">
        <f>AVERAGE($K$158:$P$158)</f>
        <v>0.9237375000000001</v>
      </c>
      <c r="R158" s="124">
        <f t="shared" ref="R158:AH158" si="124">AVERAGE($K$158:$P$158)</f>
        <v>0.9237375000000001</v>
      </c>
      <c r="S158" s="124">
        <f t="shared" si="124"/>
        <v>0.9237375000000001</v>
      </c>
      <c r="T158" s="124">
        <f t="shared" si="124"/>
        <v>0.9237375000000001</v>
      </c>
      <c r="U158" s="124">
        <f t="shared" si="124"/>
        <v>0.9237375000000001</v>
      </c>
      <c r="V158" s="124">
        <f t="shared" si="124"/>
        <v>0.9237375000000001</v>
      </c>
      <c r="W158" s="124">
        <f t="shared" si="124"/>
        <v>0.9237375000000001</v>
      </c>
      <c r="X158" s="124">
        <f t="shared" si="124"/>
        <v>0.9237375000000001</v>
      </c>
      <c r="Y158" s="124">
        <f t="shared" si="124"/>
        <v>0.9237375000000001</v>
      </c>
      <c r="Z158" s="124">
        <f t="shared" si="124"/>
        <v>0.9237375000000001</v>
      </c>
      <c r="AA158" s="124">
        <f t="shared" si="124"/>
        <v>0.9237375000000001</v>
      </c>
      <c r="AB158" s="124">
        <f t="shared" si="124"/>
        <v>0.9237375000000001</v>
      </c>
      <c r="AC158" s="124">
        <f t="shared" si="124"/>
        <v>0.9237375000000001</v>
      </c>
      <c r="AD158" s="124">
        <f t="shared" si="124"/>
        <v>0.9237375000000001</v>
      </c>
      <c r="AE158" s="124">
        <f t="shared" si="124"/>
        <v>0.9237375000000001</v>
      </c>
      <c r="AF158" s="124">
        <f t="shared" si="124"/>
        <v>0.9237375000000001</v>
      </c>
      <c r="AG158" s="124">
        <f t="shared" si="124"/>
        <v>0.9237375000000001</v>
      </c>
      <c r="AH158" s="124">
        <f t="shared" si="124"/>
        <v>0.9237375000000001</v>
      </c>
      <c r="AJ158" s="32"/>
      <c r="AK158" s="32"/>
      <c r="AL158" s="32"/>
      <c r="AM158" s="63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</row>
    <row r="159" spans="3:53" x14ac:dyDescent="0.2">
      <c r="C159" s="71" t="s">
        <v>124</v>
      </c>
      <c r="E159" s="66">
        <v>65.190187707045553</v>
      </c>
      <c r="F159" s="66">
        <v>56.513232470223151</v>
      </c>
      <c r="G159" s="66">
        <v>45.49666204608215</v>
      </c>
      <c r="H159" s="66">
        <v>46.002353256669714</v>
      </c>
      <c r="I159" s="66">
        <v>42.090482882008452</v>
      </c>
      <c r="J159" s="41">
        <v>48.503213207305272</v>
      </c>
      <c r="K159" s="66">
        <v>45.271120289561381</v>
      </c>
      <c r="L159" s="66">
        <v>42.353839618108374</v>
      </c>
      <c r="M159" s="66">
        <v>39.358004258562765</v>
      </c>
      <c r="N159" s="66">
        <v>46.844150294098469</v>
      </c>
      <c r="O159" s="66">
        <v>54.174371601071144</v>
      </c>
      <c r="P159" s="42">
        <v>61.283214335632493</v>
      </c>
      <c r="Q159" s="22">
        <f>Q158*Q157/1000</f>
        <v>52.995126730813759</v>
      </c>
      <c r="R159" s="22">
        <f t="shared" ref="R159:AH159" si="125">R158*R157/1000</f>
        <v>47.582123410196807</v>
      </c>
      <c r="S159" s="22">
        <f t="shared" si="125"/>
        <v>42.903352309455471</v>
      </c>
      <c r="T159" s="22">
        <f t="shared" si="125"/>
        <v>45.187728251082852</v>
      </c>
      <c r="U159" s="22">
        <f t="shared" si="125"/>
        <v>41.345130580972871</v>
      </c>
      <c r="V159" s="22">
        <f t="shared" si="125"/>
        <v>47.644302140092563</v>
      </c>
      <c r="W159" s="22">
        <f t="shared" si="125"/>
        <v>50.822221944114737</v>
      </c>
      <c r="X159" s="22">
        <f t="shared" si="125"/>
        <v>47.547227095090712</v>
      </c>
      <c r="Y159" s="22">
        <f t="shared" si="125"/>
        <v>42.175679563437143</v>
      </c>
      <c r="Z159" s="22">
        <f t="shared" si="125"/>
        <v>52.588135389684361</v>
      </c>
      <c r="AA159" s="22">
        <f t="shared" si="125"/>
        <v>51.08643241981008</v>
      </c>
      <c r="AB159" s="22">
        <f t="shared" si="125"/>
        <v>51.598277784376286</v>
      </c>
      <c r="AC159" s="22">
        <f t="shared" si="125"/>
        <v>54.320004899084104</v>
      </c>
      <c r="AD159" s="22">
        <f t="shared" si="125"/>
        <v>48.771676495451729</v>
      </c>
      <c r="AE159" s="22">
        <f t="shared" si="125"/>
        <v>43.97593611719185</v>
      </c>
      <c r="AF159" s="22">
        <f t="shared" si="125"/>
        <v>46.317421457359913</v>
      </c>
      <c r="AG159" s="22">
        <f t="shared" si="125"/>
        <v>42.378758845497195</v>
      </c>
      <c r="AH159" s="22">
        <f t="shared" si="125"/>
        <v>48.835409693594876</v>
      </c>
      <c r="AJ159" s="22" cm="1">
        <f t="array" aca="1" ref="AJ159" ca="1">SUMPRODUCT(($E159:$AH159)*(AJ$3&amp;AJ$4&amp;AJ$5&amp;AJ$6=$E$3:$AH$3&amp;$E$4:$AH$4&amp;$E$5:$AH$5&amp;$E$6:$AH$6))</f>
        <v>167.20008222335085</v>
      </c>
      <c r="AK159" s="22" cm="1">
        <f t="array" aca="1" ref="AK159" ca="1">SUMPRODUCT(($E159:$AH159)*(AK$3=$E$3:$AH$3)*(AK$4=$E$4:$AH$4)*(AK$5=$E$5:$AH$5)*(AK$6=$E$6:$AH$6))</f>
        <v>136.59604934598343</v>
      </c>
      <c r="AL159" s="22" cm="1">
        <f t="array" aca="1" ref="AL159" ca="1">SUMPRODUCT(($E159:$AH159)*(AL$3=$E$3:$AH$3)*(AL$4=$E$4:$AH$4)*(AL$5=$E$5:$AH$5)*(AL$6=$E$6:$AH$6))</f>
        <v>126.98296416623253</v>
      </c>
      <c r="AM159" s="23" cm="1">
        <f t="array" aca="1" ref="AM159" ca="1">SUMPRODUCT(($E159:$AH159)*(AM$3=$E$3:$AH$3)*(AM$4=$E$4:$AH$4)*(AM$5=$E$5:$AH$5)*(AM$6=$E$6:$AH$6))</f>
        <v>162.30173623080211</v>
      </c>
      <c r="AN159" s="22" cm="1">
        <f t="array" aca="1" ref="AN159" ca="1">SUMPRODUCT(($E159:$AH159)*(AN$3=$E$3:$AH$3)*(AN$4=$E$4:$AH$4)*(AN$5=$E$5:$AH$5)*(AN$6=$E$6:$AH$6))</f>
        <v>143.48060245046605</v>
      </c>
      <c r="AO159" s="22" cm="1">
        <f t="array" aca="1" ref="AO159" ca="1">SUMPRODUCT(($E159:$AH159)*(AO$3=$E$3:$AH$3)*(AO$4=$E$4:$AH$4)*(AO$5=$E$5:$AH$5)*(AO$6=$E$6:$AH$6))</f>
        <v>134.17716097214827</v>
      </c>
      <c r="AP159" s="22" cm="1">
        <f t="array" aca="1" ref="AP159" ca="1">SUMPRODUCT(($E159:$AH159)*(AP$3=$E$3:$AH$3)*(AP$4=$E$4:$AH$4)*(AP$5=$E$5:$AH$5)*(AP$6=$E$6:$AH$6))</f>
        <v>140.54512860264259</v>
      </c>
      <c r="AQ159" s="22" cm="1">
        <f t="array" aca="1" ref="AQ159" ca="1">SUMPRODUCT(($E159:$AH159)*(AQ$3=$E$3:$AH$3)*(AQ$4=$E$4:$AH$4)*(AQ$5=$E$5:$AH$5)*(AQ$6=$E$6:$AH$6))</f>
        <v>155.27284559387073</v>
      </c>
      <c r="AR159" s="22" cm="1">
        <f t="array" aca="1" ref="AR159" ca="1">SUMPRODUCT(($E159:$AH159)*(AR$3=$E$3:$AH$3)*(AR$4=$E$4:$AH$4)*(AR$5=$E$5:$AH$5)*(AR$6=$E$6:$AH$6))</f>
        <v>147.06761751172769</v>
      </c>
      <c r="AS159" s="22" cm="1">
        <f t="array" aca="1" ref="AS159" ca="1">SUMPRODUCT(($E159:$AH159)*(AS$3=$E$3:$AH$3)*(AS$4=$E$4:$AH$4)*(AS$5=$E$5:$AH$5)*(AS$6=$E$6:$AH$6))</f>
        <v>137.53158999645197</v>
      </c>
      <c r="AT159" s="22"/>
      <c r="AU159" s="22" cm="1">
        <f t="array" aca="1" ref="AU159" ca="1">SUMPRODUCT(($E159:$AH159)*(AU$5=$E$5:$AH$5))</f>
        <v>303.79613156933431</v>
      </c>
      <c r="AV159" s="22" cm="1">
        <f t="array" aca="1" ref="AV159" ca="1">SUMPRODUCT(($E159:$AH159)*(AV$5=$E$5:$AH$5))</f>
        <v>566.94246381964888</v>
      </c>
      <c r="AW159" s="22" cm="1">
        <f t="array" aca="1" ref="AW159" ca="1">SUMPRODUCT(($E159:$AH159)*(AW$5=$E$5:$AH$5))</f>
        <v>580.41718170469301</v>
      </c>
    </row>
    <row r="160" spans="3:53" x14ac:dyDescent="0.2">
      <c r="C160" s="71"/>
      <c r="E160" s="125"/>
      <c r="F160" s="119"/>
      <c r="G160" s="119"/>
      <c r="H160" s="119"/>
      <c r="I160" s="119"/>
      <c r="J160" s="69"/>
      <c r="K160" s="119"/>
      <c r="L160" s="119"/>
      <c r="M160" s="119"/>
      <c r="N160" s="119"/>
      <c r="O160" s="119"/>
      <c r="P160" s="70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M160" s="2"/>
      <c r="AT160" s="22"/>
    </row>
    <row r="161" spans="2:49" x14ac:dyDescent="0.2">
      <c r="B161" t="s">
        <v>12</v>
      </c>
      <c r="C161" s="25" t="s">
        <v>125</v>
      </c>
      <c r="D161" s="32"/>
      <c r="E161" s="28">
        <f>E159+E154+E148</f>
        <v>381.33051765939143</v>
      </c>
      <c r="F161" s="28">
        <f t="shared" ref="F161:AH161" si="126">F159+F154+F148</f>
        <v>338.25055864271195</v>
      </c>
      <c r="G161" s="28">
        <f t="shared" si="126"/>
        <v>280.43115049900075</v>
      </c>
      <c r="H161" s="28">
        <f t="shared" si="126"/>
        <v>270.09912311626238</v>
      </c>
      <c r="I161" s="28">
        <f t="shared" si="126"/>
        <v>242.76143729257313</v>
      </c>
      <c r="J161" s="28">
        <f t="shared" si="126"/>
        <v>294.3179786842739</v>
      </c>
      <c r="K161" s="28">
        <f t="shared" si="126"/>
        <v>302.25322529242891</v>
      </c>
      <c r="L161" s="28">
        <f t="shared" si="126"/>
        <v>266.43922102738668</v>
      </c>
      <c r="M161" s="28">
        <f t="shared" si="126"/>
        <v>255.18080868502201</v>
      </c>
      <c r="N161" s="28">
        <f t="shared" si="126"/>
        <v>286.1039208234501</v>
      </c>
      <c r="O161" s="28">
        <f t="shared" si="126"/>
        <v>325.12473139176257</v>
      </c>
      <c r="P161" s="28">
        <f t="shared" si="126"/>
        <v>367.55763835999801</v>
      </c>
      <c r="Q161" s="28">
        <f t="shared" si="126"/>
        <v>347.20772937043762</v>
      </c>
      <c r="R161" s="28">
        <f t="shared" si="126"/>
        <v>310.23952647174065</v>
      </c>
      <c r="S161" s="28">
        <f t="shared" si="126"/>
        <v>271.40296995337928</v>
      </c>
      <c r="T161" s="28">
        <f t="shared" si="126"/>
        <v>282.37424700548763</v>
      </c>
      <c r="U161" s="28">
        <f t="shared" si="126"/>
        <v>253.97544533134894</v>
      </c>
      <c r="V161" s="28">
        <f t="shared" si="126"/>
        <v>296.59895535371396</v>
      </c>
      <c r="W161" s="28">
        <f t="shared" si="126"/>
        <v>335.1638588506043</v>
      </c>
      <c r="X161" s="28">
        <f t="shared" si="126"/>
        <v>295.68053689956974</v>
      </c>
      <c r="Y161" s="28">
        <f t="shared" si="126"/>
        <v>270.68898121936365</v>
      </c>
      <c r="Z161" s="28">
        <f t="shared" si="126"/>
        <v>317.42338948565742</v>
      </c>
      <c r="AA161" s="28">
        <f t="shared" si="126"/>
        <v>325.19191364067774</v>
      </c>
      <c r="AB161" s="28">
        <f t="shared" si="126"/>
        <v>336.76165226450263</v>
      </c>
      <c r="AC161" s="28">
        <f t="shared" si="126"/>
        <v>359.58111164429289</v>
      </c>
      <c r="AD161" s="28">
        <f t="shared" si="126"/>
        <v>321.21537567945734</v>
      </c>
      <c r="AE161" s="28">
        <f t="shared" si="126"/>
        <v>280.89553846687261</v>
      </c>
      <c r="AF161" s="28">
        <f t="shared" si="126"/>
        <v>292.27140096194086</v>
      </c>
      <c r="AG161" s="28">
        <f t="shared" si="126"/>
        <v>262.79428618588832</v>
      </c>
      <c r="AH161" s="28">
        <f t="shared" si="126"/>
        <v>307.02824903576112</v>
      </c>
      <c r="AI161" s="28">
        <f t="shared" ref="AI161:BL161" si="127">AI159+AI154+AI148+AI144</f>
        <v>0</v>
      </c>
      <c r="AJ161" s="28">
        <f t="shared" ref="AJ161:AW161" ca="1" si="128">SUM(AJ149,AJ154,AJ159)</f>
        <v>1000.012226801104</v>
      </c>
      <c r="AK161" s="28">
        <f t="shared" ca="1" si="128"/>
        <v>807.17853909310929</v>
      </c>
      <c r="AL161" s="28">
        <f t="shared" ca="1" si="128"/>
        <v>823.87325500483757</v>
      </c>
      <c r="AM161" s="29">
        <f t="shared" ca="1" si="128"/>
        <v>978.78629057521061</v>
      </c>
      <c r="AN161" s="28">
        <f t="shared" ca="1" si="128"/>
        <v>928.85022579555744</v>
      </c>
      <c r="AO161" s="28">
        <f t="shared" ca="1" si="128"/>
        <v>832.9486476905505</v>
      </c>
      <c r="AP161" s="28">
        <f t="shared" ca="1" si="128"/>
        <v>901.53337696953758</v>
      </c>
      <c r="AQ161" s="28">
        <f t="shared" ca="1" si="128"/>
        <v>979.37695539083779</v>
      </c>
      <c r="AR161" s="28">
        <f t="shared" ca="1" si="128"/>
        <v>961.69202579062289</v>
      </c>
      <c r="AS161" s="28">
        <f t="shared" ca="1" si="128"/>
        <v>862.09393618359036</v>
      </c>
      <c r="AT161" s="22"/>
      <c r="AU161" s="28">
        <f t="shared" ca="1" si="128"/>
        <v>1807.1907658942137</v>
      </c>
      <c r="AV161" s="28">
        <f t="shared" ca="1" si="128"/>
        <v>3564.4584190661562</v>
      </c>
      <c r="AW161" s="28">
        <f t="shared" ca="1" si="128"/>
        <v>3704.6962943345889</v>
      </c>
    </row>
    <row r="162" spans="2:49" x14ac:dyDescent="0.2">
      <c r="B162" t="s">
        <v>12</v>
      </c>
      <c r="C162" s="16" t="s">
        <v>126</v>
      </c>
      <c r="E162" s="127">
        <f>E161+E144</f>
        <v>466.33051765939143</v>
      </c>
      <c r="F162" s="127">
        <f t="shared" ref="F162:AH162" si="129">F161+F144</f>
        <v>411.25055864271195</v>
      </c>
      <c r="G162" s="127">
        <f t="shared" si="129"/>
        <v>325.43115049900075</v>
      </c>
      <c r="H162" s="127">
        <f t="shared" si="129"/>
        <v>283.09912311626238</v>
      </c>
      <c r="I162" s="127">
        <f t="shared" si="129"/>
        <v>255.76143729257313</v>
      </c>
      <c r="J162" s="127">
        <f t="shared" si="129"/>
        <v>331.3179786842739</v>
      </c>
      <c r="K162" s="127">
        <f t="shared" si="129"/>
        <v>347.25322529242891</v>
      </c>
      <c r="L162" s="127">
        <f t="shared" si="129"/>
        <v>287.43922102738668</v>
      </c>
      <c r="M162" s="127">
        <f t="shared" si="129"/>
        <v>276.18080868502204</v>
      </c>
      <c r="N162" s="127">
        <f t="shared" si="129"/>
        <v>331.1039208234501</v>
      </c>
      <c r="O162" s="127">
        <f t="shared" si="129"/>
        <v>410.12473139176257</v>
      </c>
      <c r="P162" s="127">
        <f t="shared" si="129"/>
        <v>492.55763835999801</v>
      </c>
      <c r="Q162" s="127">
        <f t="shared" si="129"/>
        <v>432.20772937043762</v>
      </c>
      <c r="R162" s="127">
        <f t="shared" si="129"/>
        <v>383.23952647174065</v>
      </c>
      <c r="S162" s="127">
        <f t="shared" si="129"/>
        <v>316.40296995337928</v>
      </c>
      <c r="T162" s="127">
        <f t="shared" si="129"/>
        <v>295.37424700548763</v>
      </c>
      <c r="U162" s="127">
        <f t="shared" si="129"/>
        <v>266.97544533134896</v>
      </c>
      <c r="V162" s="127">
        <f t="shared" si="129"/>
        <v>333.59895535371396</v>
      </c>
      <c r="W162" s="127">
        <f t="shared" si="129"/>
        <v>380.1638588506043</v>
      </c>
      <c r="X162" s="127">
        <f t="shared" si="129"/>
        <v>316.68053689956974</v>
      </c>
      <c r="Y162" s="127">
        <f t="shared" si="129"/>
        <v>291.68898121936365</v>
      </c>
      <c r="Z162" s="127">
        <f t="shared" si="129"/>
        <v>362.42338948565742</v>
      </c>
      <c r="AA162" s="127">
        <f t="shared" si="129"/>
        <v>410.19191364067774</v>
      </c>
      <c r="AB162" s="127">
        <f t="shared" si="129"/>
        <v>461.76165226450263</v>
      </c>
      <c r="AC162" s="127">
        <f t="shared" si="129"/>
        <v>444.58111164429289</v>
      </c>
      <c r="AD162" s="127">
        <f t="shared" si="129"/>
        <v>394.21537567945734</v>
      </c>
      <c r="AE162" s="127">
        <f t="shared" si="129"/>
        <v>325.89553846687261</v>
      </c>
      <c r="AF162" s="127">
        <f t="shared" si="129"/>
        <v>305.27140096194086</v>
      </c>
      <c r="AG162" s="127">
        <f t="shared" si="129"/>
        <v>275.79428618588832</v>
      </c>
      <c r="AH162" s="127">
        <f t="shared" si="129"/>
        <v>344.02824903576112</v>
      </c>
      <c r="AJ162" s="127">
        <f t="shared" ref="AJ162:AW162" ca="1" si="130">AJ144+AJ161</f>
        <v>1203.0122268011041</v>
      </c>
      <c r="AK162" s="127">
        <f t="shared" ca="1" si="130"/>
        <v>870.17853909310929</v>
      </c>
      <c r="AL162" s="127">
        <f t="shared" ca="1" si="130"/>
        <v>910.87325500483757</v>
      </c>
      <c r="AM162" s="128">
        <f t="shared" ca="1" si="130"/>
        <v>1233.7862905752106</v>
      </c>
      <c r="AN162" s="127">
        <f t="shared" ca="1" si="130"/>
        <v>1131.8502257955574</v>
      </c>
      <c r="AO162" s="127">
        <f t="shared" ca="1" si="130"/>
        <v>895.9486476905505</v>
      </c>
      <c r="AP162" s="127">
        <f t="shared" ca="1" si="130"/>
        <v>988.53337696953758</v>
      </c>
      <c r="AQ162" s="127">
        <f t="shared" ca="1" si="130"/>
        <v>1234.3769553908378</v>
      </c>
      <c r="AR162" s="127">
        <f t="shared" ca="1" si="130"/>
        <v>1164.6920257906229</v>
      </c>
      <c r="AS162" s="127">
        <f t="shared" ca="1" si="130"/>
        <v>925.09393618359036</v>
      </c>
      <c r="AT162" s="22"/>
      <c r="AU162" s="127">
        <f t="shared" ca="1" si="130"/>
        <v>2073.1907658942137</v>
      </c>
      <c r="AV162" s="127">
        <f t="shared" ca="1" si="130"/>
        <v>4172.4584190661562</v>
      </c>
      <c r="AW162" s="127">
        <f t="shared" ca="1" si="130"/>
        <v>4312.6962943345889</v>
      </c>
    </row>
    <row r="163" spans="2:49" x14ac:dyDescent="0.2">
      <c r="P163" s="2"/>
      <c r="AM163" s="2"/>
      <c r="AT163" s="22"/>
    </row>
    <row r="164" spans="2:49" x14ac:dyDescent="0.2">
      <c r="C164" s="17" t="s">
        <v>127</v>
      </c>
      <c r="D164" s="17"/>
      <c r="E164" s="18" t="str">
        <f t="shared" ref="E164:AH164" si="131">E$9</f>
        <v>Jul-20A</v>
      </c>
      <c r="F164" s="18" t="str">
        <f t="shared" si="131"/>
        <v>Aug-20A</v>
      </c>
      <c r="G164" s="18" t="str">
        <f t="shared" si="131"/>
        <v>Sep-20A</v>
      </c>
      <c r="H164" s="18" t="str">
        <f t="shared" si="131"/>
        <v>Oct-20A</v>
      </c>
      <c r="I164" s="18" t="str">
        <f t="shared" si="131"/>
        <v>Nov-20A</v>
      </c>
      <c r="J164" s="18" t="str">
        <f t="shared" si="131"/>
        <v>Dec-20A</v>
      </c>
      <c r="K164" s="18" t="str">
        <f t="shared" si="131"/>
        <v>Jan-21A</v>
      </c>
      <c r="L164" s="18" t="str">
        <f t="shared" si="131"/>
        <v>Feb-21A</v>
      </c>
      <c r="M164" s="18" t="str">
        <f t="shared" si="131"/>
        <v>Mar-21A</v>
      </c>
      <c r="N164" s="18" t="str">
        <f t="shared" si="131"/>
        <v>Apr-21A</v>
      </c>
      <c r="O164" s="18" t="str">
        <f t="shared" si="131"/>
        <v>May-21A</v>
      </c>
      <c r="P164" s="19" t="str">
        <f t="shared" si="131"/>
        <v>Jun-21A</v>
      </c>
      <c r="Q164" s="18" t="str">
        <f t="shared" si="131"/>
        <v>Jul-21F</v>
      </c>
      <c r="R164" s="18" t="str">
        <f t="shared" si="131"/>
        <v>Aug-21F</v>
      </c>
      <c r="S164" s="18" t="str">
        <f t="shared" si="131"/>
        <v>Sep-21F</v>
      </c>
      <c r="T164" s="18" t="str">
        <f t="shared" si="131"/>
        <v>Oct-21F</v>
      </c>
      <c r="U164" s="18" t="str">
        <f t="shared" si="131"/>
        <v>Nov-21F</v>
      </c>
      <c r="V164" s="18" t="str">
        <f t="shared" si="131"/>
        <v>Dec-21F</v>
      </c>
      <c r="W164" s="18" t="str">
        <f t="shared" si="131"/>
        <v>Jan-22F</v>
      </c>
      <c r="X164" s="18" t="str">
        <f t="shared" si="131"/>
        <v>Feb-22F</v>
      </c>
      <c r="Y164" s="18" t="str">
        <f t="shared" si="131"/>
        <v>Mar-22F</v>
      </c>
      <c r="Z164" s="18" t="str">
        <f t="shared" si="131"/>
        <v>Apr-22F</v>
      </c>
      <c r="AA164" s="18" t="str">
        <f t="shared" si="131"/>
        <v>May-22F</v>
      </c>
      <c r="AB164" s="18" t="str">
        <f t="shared" si="131"/>
        <v>Jun-22F</v>
      </c>
      <c r="AC164" s="18" t="str">
        <f t="shared" si="131"/>
        <v>Jul-22F</v>
      </c>
      <c r="AD164" s="18" t="str">
        <f t="shared" si="131"/>
        <v>Aug-22F</v>
      </c>
      <c r="AE164" s="18" t="str">
        <f t="shared" si="131"/>
        <v>Sep-22F</v>
      </c>
      <c r="AF164" s="18" t="str">
        <f t="shared" si="131"/>
        <v>Oct-22F</v>
      </c>
      <c r="AG164" s="18" t="str">
        <f t="shared" si="131"/>
        <v>Nov-22F</v>
      </c>
      <c r="AH164" s="18" t="str">
        <f t="shared" si="131"/>
        <v>Dec-22F</v>
      </c>
      <c r="AJ164" s="18" t="str">
        <f ca="1">AJ$10</f>
        <v>Q3'20A</v>
      </c>
      <c r="AK164" s="18" t="str">
        <f t="shared" ref="AK164:AW164" ca="1" si="132">AK$10</f>
        <v>Q4'20A</v>
      </c>
      <c r="AL164" s="18" t="str">
        <f t="shared" ca="1" si="132"/>
        <v>Q1'21A</v>
      </c>
      <c r="AM164" s="19" t="str">
        <f t="shared" ca="1" si="132"/>
        <v>Q2'21A</v>
      </c>
      <c r="AN164" s="18" t="str">
        <f t="shared" ca="1" si="132"/>
        <v>Q3'21F</v>
      </c>
      <c r="AO164" s="18" t="str">
        <f t="shared" ca="1" si="132"/>
        <v>Q4'21F</v>
      </c>
      <c r="AP164" s="18" t="str">
        <f t="shared" ca="1" si="132"/>
        <v>Q1'22F</v>
      </c>
      <c r="AQ164" s="18" t="str">
        <f t="shared" ca="1" si="132"/>
        <v>Q2'22F</v>
      </c>
      <c r="AR164" s="18" t="str">
        <f t="shared" ca="1" si="132"/>
        <v>Q3'22F</v>
      </c>
      <c r="AS164" s="18" t="str">
        <f t="shared" ca="1" si="132"/>
        <v>Q4'22F</v>
      </c>
      <c r="AT164" s="22"/>
      <c r="AU164" s="18" t="str">
        <f t="shared" ca="1" si="132"/>
        <v>FY20</v>
      </c>
      <c r="AV164" s="18" t="str">
        <f t="shared" ca="1" si="132"/>
        <v>FY21</v>
      </c>
      <c r="AW164" s="18" t="str">
        <f t="shared" ca="1" si="132"/>
        <v>FY22</v>
      </c>
    </row>
    <row r="165" spans="2:49" x14ac:dyDescent="0.2">
      <c r="C165" s="20" t="s">
        <v>128</v>
      </c>
      <c r="E165" s="58">
        <v>915.08386040870118</v>
      </c>
      <c r="F165" s="58">
        <v>915.08386040870118</v>
      </c>
      <c r="G165" s="58">
        <v>1230.0838604087012</v>
      </c>
      <c r="H165" s="58">
        <v>1230.0838604087012</v>
      </c>
      <c r="I165" s="58">
        <v>1230.0838604087012</v>
      </c>
      <c r="J165" s="59">
        <v>1230.0838604087012</v>
      </c>
      <c r="K165" s="58">
        <v>885.08386040870118</v>
      </c>
      <c r="L165" s="58">
        <v>885.08386040870118</v>
      </c>
      <c r="M165" s="58">
        <v>885.08386040870118</v>
      </c>
      <c r="N165" s="58">
        <v>885.08386040870118</v>
      </c>
      <c r="O165" s="58">
        <v>885.08386040870118</v>
      </c>
      <c r="P165" s="60">
        <v>905.08386040870118</v>
      </c>
      <c r="Q165" s="58">
        <v>905.08386040870118</v>
      </c>
      <c r="R165" s="58">
        <v>905.08386040870118</v>
      </c>
      <c r="S165" s="58">
        <v>905.08386040870118</v>
      </c>
      <c r="T165" s="58">
        <v>905.08386040870118</v>
      </c>
      <c r="U165" s="58">
        <v>905.08386040870118</v>
      </c>
      <c r="V165" s="58">
        <v>905.08386040870118</v>
      </c>
      <c r="W165" s="58">
        <v>905.08386040870118</v>
      </c>
      <c r="X165" s="58">
        <v>905.08386040870118</v>
      </c>
      <c r="Y165" s="58">
        <v>905.08386040870118</v>
      </c>
      <c r="Z165" s="58">
        <v>905.08386040870118</v>
      </c>
      <c r="AA165" s="58">
        <v>905.08386040870118</v>
      </c>
      <c r="AB165" s="58">
        <v>905.08386040870118</v>
      </c>
      <c r="AC165" s="58">
        <v>905.08386040870118</v>
      </c>
      <c r="AD165" s="58">
        <v>905.08386040870118</v>
      </c>
      <c r="AE165" s="58">
        <v>905.08386040870118</v>
      </c>
      <c r="AF165" s="58">
        <v>905.08386040870118</v>
      </c>
      <c r="AG165" s="58">
        <v>905.08386040870118</v>
      </c>
      <c r="AH165" s="58">
        <v>905.08386040870118</v>
      </c>
      <c r="AM165" s="2"/>
    </row>
    <row r="166" spans="2:49" x14ac:dyDescent="0.2">
      <c r="C166" s="20" t="s">
        <v>129</v>
      </c>
      <c r="E166" s="107">
        <v>3.15E-2</v>
      </c>
      <c r="F166" s="58"/>
      <c r="G166" s="58"/>
      <c r="H166" s="58"/>
      <c r="I166" s="58"/>
      <c r="J166" s="59"/>
      <c r="K166" s="58"/>
      <c r="L166" s="58"/>
      <c r="M166" s="58"/>
      <c r="N166" s="58"/>
      <c r="O166" s="58"/>
      <c r="P166" s="60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M166" s="2"/>
    </row>
    <row r="167" spans="2:49" x14ac:dyDescent="0.2">
      <c r="C167" s="25" t="s">
        <v>130</v>
      </c>
      <c r="D167" s="32"/>
      <c r="E167" s="81">
        <f>$E$166/12</f>
        <v>2.6250000000000002E-3</v>
      </c>
      <c r="F167" s="81">
        <f t="shared" ref="F167:AH167" si="133">$E$166/12</f>
        <v>2.6250000000000002E-3</v>
      </c>
      <c r="G167" s="81">
        <f t="shared" si="133"/>
        <v>2.6250000000000002E-3</v>
      </c>
      <c r="H167" s="81">
        <f t="shared" si="133"/>
        <v>2.6250000000000002E-3</v>
      </c>
      <c r="I167" s="81">
        <f t="shared" si="133"/>
        <v>2.6250000000000002E-3</v>
      </c>
      <c r="J167" s="81">
        <f t="shared" si="133"/>
        <v>2.6250000000000002E-3</v>
      </c>
      <c r="K167" s="81">
        <f t="shared" si="133"/>
        <v>2.6250000000000002E-3</v>
      </c>
      <c r="L167" s="81">
        <f t="shared" si="133"/>
        <v>2.6250000000000002E-3</v>
      </c>
      <c r="M167" s="81">
        <f t="shared" si="133"/>
        <v>2.6250000000000002E-3</v>
      </c>
      <c r="N167" s="81">
        <f t="shared" si="133"/>
        <v>2.6250000000000002E-3</v>
      </c>
      <c r="O167" s="81">
        <f t="shared" si="133"/>
        <v>2.6250000000000002E-3</v>
      </c>
      <c r="P167" s="115">
        <f t="shared" si="133"/>
        <v>2.6250000000000002E-3</v>
      </c>
      <c r="Q167" s="115">
        <f t="shared" si="133"/>
        <v>2.6250000000000002E-3</v>
      </c>
      <c r="R167" s="115">
        <f t="shared" si="133"/>
        <v>2.6250000000000002E-3</v>
      </c>
      <c r="S167" s="115">
        <f t="shared" si="133"/>
        <v>2.6250000000000002E-3</v>
      </c>
      <c r="T167" s="115">
        <f t="shared" si="133"/>
        <v>2.6250000000000002E-3</v>
      </c>
      <c r="U167" s="115">
        <f t="shared" si="133"/>
        <v>2.6250000000000002E-3</v>
      </c>
      <c r="V167" s="115">
        <f t="shared" si="133"/>
        <v>2.6250000000000002E-3</v>
      </c>
      <c r="W167" s="115">
        <f t="shared" si="133"/>
        <v>2.6250000000000002E-3</v>
      </c>
      <c r="X167" s="115">
        <f t="shared" si="133"/>
        <v>2.6250000000000002E-3</v>
      </c>
      <c r="Y167" s="115">
        <f t="shared" si="133"/>
        <v>2.6250000000000002E-3</v>
      </c>
      <c r="Z167" s="115">
        <f t="shared" si="133"/>
        <v>2.6250000000000002E-3</v>
      </c>
      <c r="AA167" s="115">
        <f t="shared" si="133"/>
        <v>2.6250000000000002E-3</v>
      </c>
      <c r="AB167" s="115">
        <f t="shared" si="133"/>
        <v>2.6250000000000002E-3</v>
      </c>
      <c r="AC167" s="115">
        <f t="shared" si="133"/>
        <v>2.6250000000000002E-3</v>
      </c>
      <c r="AD167" s="115">
        <f t="shared" si="133"/>
        <v>2.6250000000000002E-3</v>
      </c>
      <c r="AE167" s="115">
        <f t="shared" si="133"/>
        <v>2.6250000000000002E-3</v>
      </c>
      <c r="AF167" s="115">
        <f t="shared" si="133"/>
        <v>2.6250000000000002E-3</v>
      </c>
      <c r="AG167" s="115">
        <f t="shared" si="133"/>
        <v>2.6250000000000002E-3</v>
      </c>
      <c r="AH167" s="115">
        <f t="shared" si="133"/>
        <v>2.6250000000000002E-3</v>
      </c>
      <c r="AJ167" s="32"/>
      <c r="AK167" s="32"/>
      <c r="AL167" s="32"/>
      <c r="AM167" s="63"/>
      <c r="AN167" s="32"/>
      <c r="AO167" s="32"/>
      <c r="AP167" s="32"/>
      <c r="AQ167" s="32"/>
      <c r="AR167" s="32"/>
      <c r="AS167" s="32"/>
      <c r="AU167" s="32"/>
      <c r="AV167" s="32"/>
      <c r="AW167" s="32"/>
    </row>
    <row r="168" spans="2:49" x14ac:dyDescent="0.2">
      <c r="B168" t="s">
        <v>12</v>
      </c>
      <c r="C168" t="s">
        <v>131</v>
      </c>
      <c r="E168" s="66">
        <v>2.4020951335728409</v>
      </c>
      <c r="F168" s="66">
        <v>2.4020951335728409</v>
      </c>
      <c r="G168" s="66">
        <v>3.2289701335728407</v>
      </c>
      <c r="H168" s="66">
        <v>3.2289701335728407</v>
      </c>
      <c r="I168" s="66">
        <v>3.2289701335728407</v>
      </c>
      <c r="J168" s="41">
        <v>3.2289701335728407</v>
      </c>
      <c r="K168" s="66">
        <v>2.3233451335728406</v>
      </c>
      <c r="L168" s="66">
        <v>2.3233451335728406</v>
      </c>
      <c r="M168" s="66">
        <v>2.3233451335728406</v>
      </c>
      <c r="N168" s="66">
        <v>2.3233451335728406</v>
      </c>
      <c r="O168" s="66">
        <v>2.3233451335728406</v>
      </c>
      <c r="P168" s="42">
        <v>2.3758451335728408</v>
      </c>
      <c r="Q168" s="22">
        <f>Q167*Q165</f>
        <v>2.3758451335728408</v>
      </c>
      <c r="R168" s="22">
        <f t="shared" ref="R168:AH168" si="134">R167*R165</f>
        <v>2.3758451335728408</v>
      </c>
      <c r="S168" s="22">
        <f t="shared" si="134"/>
        <v>2.3758451335728408</v>
      </c>
      <c r="T168" s="22">
        <f t="shared" si="134"/>
        <v>2.3758451335728408</v>
      </c>
      <c r="U168" s="22">
        <f t="shared" si="134"/>
        <v>2.3758451335728408</v>
      </c>
      <c r="V168" s="22">
        <f t="shared" si="134"/>
        <v>2.3758451335728408</v>
      </c>
      <c r="W168" s="22">
        <f t="shared" si="134"/>
        <v>2.3758451335728408</v>
      </c>
      <c r="X168" s="22">
        <f t="shared" si="134"/>
        <v>2.3758451335728408</v>
      </c>
      <c r="Y168" s="22">
        <f t="shared" si="134"/>
        <v>2.3758451335728408</v>
      </c>
      <c r="Z168" s="22">
        <f t="shared" si="134"/>
        <v>2.3758451335728408</v>
      </c>
      <c r="AA168" s="22">
        <f t="shared" si="134"/>
        <v>2.3758451335728408</v>
      </c>
      <c r="AB168" s="22">
        <f t="shared" si="134"/>
        <v>2.3758451335728408</v>
      </c>
      <c r="AC168" s="22">
        <f t="shared" si="134"/>
        <v>2.3758451335728408</v>
      </c>
      <c r="AD168" s="22">
        <f t="shared" si="134"/>
        <v>2.3758451335728408</v>
      </c>
      <c r="AE168" s="22">
        <f t="shared" si="134"/>
        <v>2.3758451335728408</v>
      </c>
      <c r="AF168" s="22">
        <f t="shared" si="134"/>
        <v>2.3758451335728408</v>
      </c>
      <c r="AG168" s="22">
        <f t="shared" si="134"/>
        <v>2.3758451335728408</v>
      </c>
      <c r="AH168" s="22">
        <f t="shared" si="134"/>
        <v>2.3758451335728408</v>
      </c>
      <c r="AJ168" s="22" cm="1">
        <f t="array" aca="1" ref="AJ168" ca="1">SUMPRODUCT(($E168:$AH168)*(AJ$3&amp;AJ$4&amp;AJ$5&amp;AJ$6=$E$3:$AH$3&amp;$E$4:$AH$4&amp;$E$5:$AH$5&amp;$E$6:$AH$6))</f>
        <v>8.033160400718522</v>
      </c>
      <c r="AK168" s="22" cm="1">
        <f t="array" aca="1" ref="AK168" ca="1">SUMPRODUCT(($E168:$AH168)*(AK$3=$E$3:$AH$3)*(AK$4=$E$4:$AH$4)*(AK$5=$E$5:$AH$5)*(AK$6=$E$6:$AH$6))</f>
        <v>9.6869104007185225</v>
      </c>
      <c r="AL168" s="22" cm="1">
        <f t="array" aca="1" ref="AL168" ca="1">SUMPRODUCT(($E168:$AH168)*(AL$3=$E$3:$AH$3)*(AL$4=$E$4:$AH$4)*(AL$5=$E$5:$AH$5)*(AL$6=$E$6:$AH$6))</f>
        <v>6.9700354007185217</v>
      </c>
      <c r="AM168" s="23" cm="1">
        <f t="array" aca="1" ref="AM168" ca="1">SUMPRODUCT(($E168:$AH168)*(AM$3=$E$3:$AH$3)*(AM$4=$E$4:$AH$4)*(AM$5=$E$5:$AH$5)*(AM$6=$E$6:$AH$6))</f>
        <v>7.0225354007185219</v>
      </c>
      <c r="AN168" s="22" cm="1">
        <f t="array" aca="1" ref="AN168" ca="1">SUMPRODUCT(($E168:$AH168)*(AN$3=$E$3:$AH$3)*(AN$4=$E$4:$AH$4)*(AN$5=$E$5:$AH$5)*(AN$6=$E$6:$AH$6))</f>
        <v>7.1275354007185223</v>
      </c>
      <c r="AO168" s="22" cm="1">
        <f t="array" aca="1" ref="AO168" ca="1">SUMPRODUCT(($E168:$AH168)*(AO$3=$E$3:$AH$3)*(AO$4=$E$4:$AH$4)*(AO$5=$E$5:$AH$5)*(AO$6=$E$6:$AH$6))</f>
        <v>7.1275354007185223</v>
      </c>
      <c r="AP168" s="22" cm="1">
        <f t="array" aca="1" ref="AP168" ca="1">SUMPRODUCT(($E168:$AH168)*(AP$3=$E$3:$AH$3)*(AP$4=$E$4:$AH$4)*(AP$5=$E$5:$AH$5)*(AP$6=$E$6:$AH$6))</f>
        <v>7.1275354007185223</v>
      </c>
      <c r="AQ168" s="22" cm="1">
        <f t="array" aca="1" ref="AQ168" ca="1">SUMPRODUCT(($E168:$AH168)*(AQ$3=$E$3:$AH$3)*(AQ$4=$E$4:$AH$4)*(AQ$5=$E$5:$AH$5)*(AQ$6=$E$6:$AH$6))</f>
        <v>7.1275354007185223</v>
      </c>
      <c r="AR168" s="22" cm="1">
        <f t="array" aca="1" ref="AR168" ca="1">SUMPRODUCT(($E168:$AH168)*(AR$3=$E$3:$AH$3)*(AR$4=$E$4:$AH$4)*(AR$5=$E$5:$AH$5)*(AR$6=$E$6:$AH$6))</f>
        <v>7.1275354007185223</v>
      </c>
      <c r="AS168" s="22" cm="1">
        <f t="array" aca="1" ref="AS168" ca="1">SUMPRODUCT(($E168:$AH168)*(AS$3=$E$3:$AH$3)*(AS$4=$E$4:$AH$4)*(AS$5=$E$5:$AH$5)*(AS$6=$E$6:$AH$6))</f>
        <v>7.1275354007185223</v>
      </c>
      <c r="AU168" s="22" cm="1">
        <f t="array" aca="1" ref="AU168" ca="1">SUMPRODUCT(($E168:$AH168)*(AU$5=$E$5:$AH$5))</f>
        <v>17.720070801437043</v>
      </c>
      <c r="AV168" s="22" cm="1">
        <f t="array" aca="1" ref="AV168" ca="1">SUMPRODUCT(($E168:$AH168)*(AV$5=$E$5:$AH$5))</f>
        <v>28.247641602874094</v>
      </c>
      <c r="AW168" s="22" cm="1">
        <f t="array" aca="1" ref="AW168" ca="1">SUMPRODUCT(($E168:$AH168)*(AW$5=$E$5:$AH$5))</f>
        <v>28.510141602874096</v>
      </c>
    </row>
    <row r="169" spans="2:49" x14ac:dyDescent="0.2">
      <c r="P169" s="2"/>
      <c r="AM169" s="2"/>
    </row>
    <row r="170" spans="2:49" x14ac:dyDescent="0.2">
      <c r="C170" s="20" t="s">
        <v>132</v>
      </c>
      <c r="E170" s="58">
        <v>4977.0862961113271</v>
      </c>
      <c r="F170" s="58">
        <v>4977.0862961113271</v>
      </c>
      <c r="G170" s="58">
        <v>4977.0862961113271</v>
      </c>
      <c r="H170" s="58">
        <v>4977.0862961113271</v>
      </c>
      <c r="I170" s="58">
        <v>4977.0862961113271</v>
      </c>
      <c r="J170" s="59">
        <v>5977.0862961113271</v>
      </c>
      <c r="K170" s="58">
        <v>4727.0862961113271</v>
      </c>
      <c r="L170" s="58">
        <v>4727.0862961113271</v>
      </c>
      <c r="M170" s="58">
        <v>4727.0862961113271</v>
      </c>
      <c r="N170" s="58">
        <v>4727.0862961113271</v>
      </c>
      <c r="O170" s="58">
        <v>4727.0862961113271</v>
      </c>
      <c r="P170" s="60">
        <v>4727.0862961113271</v>
      </c>
      <c r="Q170" s="58">
        <v>4727.0862961113271</v>
      </c>
      <c r="R170" s="58">
        <v>4727.0862961113271</v>
      </c>
      <c r="S170" s="58">
        <v>4727.0862961113271</v>
      </c>
      <c r="T170" s="58">
        <v>4727.0862961113271</v>
      </c>
      <c r="U170" s="58">
        <v>4727.0862961113271</v>
      </c>
      <c r="V170" s="58">
        <v>4727.0862961113271</v>
      </c>
      <c r="W170" s="58">
        <v>4727.0862961113271</v>
      </c>
      <c r="X170" s="58">
        <v>4727.0862961113271</v>
      </c>
      <c r="Y170" s="58">
        <v>4727.0862961113271</v>
      </c>
      <c r="Z170" s="58">
        <v>4727.0862961113271</v>
      </c>
      <c r="AA170" s="58">
        <v>4727.0862961113271</v>
      </c>
      <c r="AB170" s="58">
        <v>4727.0862961113271</v>
      </c>
      <c r="AC170" s="58">
        <v>4727.0862961113271</v>
      </c>
      <c r="AD170" s="58">
        <v>4727.0862961113271</v>
      </c>
      <c r="AE170" s="58">
        <v>4727.0862961113271</v>
      </c>
      <c r="AF170" s="58">
        <v>4727.0862961113271</v>
      </c>
      <c r="AG170" s="58">
        <v>4727.0862961113271</v>
      </c>
      <c r="AH170" s="58">
        <v>4727.0862961113271</v>
      </c>
      <c r="AM170" s="2"/>
    </row>
    <row r="171" spans="2:49" x14ac:dyDescent="0.2">
      <c r="C171" s="20" t="s">
        <v>129</v>
      </c>
      <c r="E171" s="107">
        <v>4.2500000000000003E-2</v>
      </c>
      <c r="F171" s="58"/>
      <c r="G171" s="58"/>
      <c r="H171" s="58"/>
      <c r="I171" s="58"/>
      <c r="J171" s="59"/>
      <c r="K171" s="58"/>
      <c r="L171" s="58"/>
      <c r="M171" s="58"/>
      <c r="N171" s="58"/>
      <c r="O171" s="58"/>
      <c r="P171" s="60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M171" s="2"/>
    </row>
    <row r="172" spans="2:49" x14ac:dyDescent="0.2">
      <c r="C172" s="25" t="s">
        <v>130</v>
      </c>
      <c r="D172" s="32"/>
      <c r="E172" s="81">
        <f>$E$171/12</f>
        <v>3.5416666666666669E-3</v>
      </c>
      <c r="F172" s="81">
        <f t="shared" ref="F172:AH172" si="135">$E$171/12</f>
        <v>3.5416666666666669E-3</v>
      </c>
      <c r="G172" s="81">
        <f t="shared" si="135"/>
        <v>3.5416666666666669E-3</v>
      </c>
      <c r="H172" s="81">
        <f t="shared" si="135"/>
        <v>3.5416666666666669E-3</v>
      </c>
      <c r="I172" s="81">
        <f t="shared" si="135"/>
        <v>3.5416666666666669E-3</v>
      </c>
      <c r="J172" s="81">
        <f t="shared" si="135"/>
        <v>3.5416666666666669E-3</v>
      </c>
      <c r="K172" s="81">
        <f t="shared" si="135"/>
        <v>3.5416666666666669E-3</v>
      </c>
      <c r="L172" s="81">
        <f t="shared" si="135"/>
        <v>3.5416666666666669E-3</v>
      </c>
      <c r="M172" s="81">
        <f t="shared" si="135"/>
        <v>3.5416666666666669E-3</v>
      </c>
      <c r="N172" s="81">
        <f t="shared" si="135"/>
        <v>3.5416666666666669E-3</v>
      </c>
      <c r="O172" s="81">
        <f t="shared" si="135"/>
        <v>3.5416666666666669E-3</v>
      </c>
      <c r="P172" s="81">
        <f t="shared" si="135"/>
        <v>3.5416666666666669E-3</v>
      </c>
      <c r="Q172" s="81">
        <f t="shared" si="135"/>
        <v>3.5416666666666669E-3</v>
      </c>
      <c r="R172" s="81">
        <f t="shared" si="135"/>
        <v>3.5416666666666669E-3</v>
      </c>
      <c r="S172" s="81">
        <f t="shared" si="135"/>
        <v>3.5416666666666669E-3</v>
      </c>
      <c r="T172" s="81">
        <f t="shared" si="135"/>
        <v>3.5416666666666669E-3</v>
      </c>
      <c r="U172" s="81">
        <f t="shared" si="135"/>
        <v>3.5416666666666669E-3</v>
      </c>
      <c r="V172" s="81">
        <f t="shared" si="135"/>
        <v>3.5416666666666669E-3</v>
      </c>
      <c r="W172" s="81">
        <f t="shared" si="135"/>
        <v>3.5416666666666669E-3</v>
      </c>
      <c r="X172" s="81">
        <f t="shared" si="135"/>
        <v>3.5416666666666669E-3</v>
      </c>
      <c r="Y172" s="81">
        <f t="shared" si="135"/>
        <v>3.5416666666666669E-3</v>
      </c>
      <c r="Z172" s="81">
        <f t="shared" si="135"/>
        <v>3.5416666666666669E-3</v>
      </c>
      <c r="AA172" s="81">
        <f t="shared" si="135"/>
        <v>3.5416666666666669E-3</v>
      </c>
      <c r="AB172" s="81">
        <f t="shared" si="135"/>
        <v>3.5416666666666669E-3</v>
      </c>
      <c r="AC172" s="81">
        <f t="shared" si="135"/>
        <v>3.5416666666666669E-3</v>
      </c>
      <c r="AD172" s="81">
        <f t="shared" si="135"/>
        <v>3.5416666666666669E-3</v>
      </c>
      <c r="AE172" s="81">
        <f t="shared" si="135"/>
        <v>3.5416666666666669E-3</v>
      </c>
      <c r="AF172" s="81">
        <f t="shared" si="135"/>
        <v>3.5416666666666669E-3</v>
      </c>
      <c r="AG172" s="81">
        <f t="shared" si="135"/>
        <v>3.5416666666666669E-3</v>
      </c>
      <c r="AH172" s="81">
        <f t="shared" si="135"/>
        <v>3.5416666666666669E-3</v>
      </c>
      <c r="AJ172" s="32"/>
      <c r="AK172" s="32"/>
      <c r="AL172" s="32"/>
      <c r="AM172" s="63"/>
      <c r="AN172" s="32"/>
      <c r="AO172" s="32"/>
      <c r="AP172" s="32"/>
      <c r="AQ172" s="32"/>
      <c r="AR172" s="32"/>
      <c r="AS172" s="32"/>
      <c r="AU172" s="32"/>
      <c r="AV172" s="32"/>
      <c r="AW172" s="32"/>
    </row>
    <row r="173" spans="2:49" x14ac:dyDescent="0.2">
      <c r="B173" t="s">
        <v>12</v>
      </c>
      <c r="C173" t="s">
        <v>133</v>
      </c>
      <c r="E173" s="66">
        <v>17.627180632060952</v>
      </c>
      <c r="F173" s="66">
        <v>17.627180632060952</v>
      </c>
      <c r="G173" s="66">
        <v>17.627180632060952</v>
      </c>
      <c r="H173" s="66">
        <v>17.627180632060952</v>
      </c>
      <c r="I173" s="66">
        <v>17.627180632060952</v>
      </c>
      <c r="J173" s="41">
        <v>21.16884729872762</v>
      </c>
      <c r="K173" s="66">
        <v>16.741763965394284</v>
      </c>
      <c r="L173" s="66">
        <v>16.741763965394284</v>
      </c>
      <c r="M173" s="66">
        <v>16.741763965394284</v>
      </c>
      <c r="N173" s="66">
        <v>16.741763965394284</v>
      </c>
      <c r="O173" s="66">
        <v>16.741763965394284</v>
      </c>
      <c r="P173" s="42">
        <v>16.741763965394284</v>
      </c>
      <c r="Q173" s="22">
        <f>Q172*Q170</f>
        <v>16.741763965394284</v>
      </c>
      <c r="R173" s="22">
        <f t="shared" ref="R173:AH173" si="136">R172*R170</f>
        <v>16.741763965394284</v>
      </c>
      <c r="S173" s="22">
        <f t="shared" si="136"/>
        <v>16.741763965394284</v>
      </c>
      <c r="T173" s="22">
        <f t="shared" si="136"/>
        <v>16.741763965394284</v>
      </c>
      <c r="U173" s="22">
        <f t="shared" si="136"/>
        <v>16.741763965394284</v>
      </c>
      <c r="V173" s="22">
        <f t="shared" si="136"/>
        <v>16.741763965394284</v>
      </c>
      <c r="W173" s="22">
        <f t="shared" si="136"/>
        <v>16.741763965394284</v>
      </c>
      <c r="X173" s="22">
        <f t="shared" si="136"/>
        <v>16.741763965394284</v>
      </c>
      <c r="Y173" s="22">
        <f t="shared" si="136"/>
        <v>16.741763965394284</v>
      </c>
      <c r="Z173" s="22">
        <f t="shared" si="136"/>
        <v>16.741763965394284</v>
      </c>
      <c r="AA173" s="22">
        <f t="shared" si="136"/>
        <v>16.741763965394284</v>
      </c>
      <c r="AB173" s="22">
        <f t="shared" si="136"/>
        <v>16.741763965394284</v>
      </c>
      <c r="AC173" s="22">
        <f t="shared" si="136"/>
        <v>16.741763965394284</v>
      </c>
      <c r="AD173" s="22">
        <f t="shared" si="136"/>
        <v>16.741763965394284</v>
      </c>
      <c r="AE173" s="22">
        <f t="shared" si="136"/>
        <v>16.741763965394284</v>
      </c>
      <c r="AF173" s="22">
        <f t="shared" si="136"/>
        <v>16.741763965394284</v>
      </c>
      <c r="AG173" s="22">
        <f t="shared" si="136"/>
        <v>16.741763965394284</v>
      </c>
      <c r="AH173" s="22">
        <f t="shared" si="136"/>
        <v>16.741763965394284</v>
      </c>
      <c r="AJ173" s="22" cm="1">
        <f t="array" aca="1" ref="AJ173" ca="1">SUMPRODUCT(($E173:$AH173)*(AJ$3&amp;AJ$4&amp;AJ$5&amp;AJ$6=$E$3:$AH$3&amp;$E$4:$AH$4&amp;$E$5:$AH$5&amp;$E$6:$AH$6))</f>
        <v>52.881541896182853</v>
      </c>
      <c r="AK173" s="22" cm="1">
        <f t="array" aca="1" ref="AK173" ca="1">SUMPRODUCT(($E173:$AH173)*(AK$3=$E$3:$AH$3)*(AK$4=$E$4:$AH$4)*(AK$5=$E$5:$AH$5)*(AK$6=$E$6:$AH$6))</f>
        <v>56.423208562849524</v>
      </c>
      <c r="AL173" s="22" cm="1">
        <f t="array" aca="1" ref="AL173" ca="1">SUMPRODUCT(($E173:$AH173)*(AL$3=$E$3:$AH$3)*(AL$4=$E$4:$AH$4)*(AL$5=$E$5:$AH$5)*(AL$6=$E$6:$AH$6))</f>
        <v>50.225291896182853</v>
      </c>
      <c r="AM173" s="23" cm="1">
        <f t="array" aca="1" ref="AM173" ca="1">SUMPRODUCT(($E173:$AH173)*(AM$3=$E$3:$AH$3)*(AM$4=$E$4:$AH$4)*(AM$5=$E$5:$AH$5)*(AM$6=$E$6:$AH$6))</f>
        <v>50.225291896182853</v>
      </c>
      <c r="AN173" s="22" cm="1">
        <f t="array" aca="1" ref="AN173" ca="1">SUMPRODUCT(($E173:$AH173)*(AN$3=$E$3:$AH$3)*(AN$4=$E$4:$AH$4)*(AN$5=$E$5:$AH$5)*(AN$6=$E$6:$AH$6))</f>
        <v>50.225291896182853</v>
      </c>
      <c r="AO173" s="22" cm="1">
        <f t="array" aca="1" ref="AO173" ca="1">SUMPRODUCT(($E173:$AH173)*(AO$3=$E$3:$AH$3)*(AO$4=$E$4:$AH$4)*(AO$5=$E$5:$AH$5)*(AO$6=$E$6:$AH$6))</f>
        <v>50.225291896182853</v>
      </c>
      <c r="AP173" s="22" cm="1">
        <f t="array" aca="1" ref="AP173" ca="1">SUMPRODUCT(($E173:$AH173)*(AP$3=$E$3:$AH$3)*(AP$4=$E$4:$AH$4)*(AP$5=$E$5:$AH$5)*(AP$6=$E$6:$AH$6))</f>
        <v>50.225291896182853</v>
      </c>
      <c r="AQ173" s="22" cm="1">
        <f t="array" aca="1" ref="AQ173" ca="1">SUMPRODUCT(($E173:$AH173)*(AQ$3=$E$3:$AH$3)*(AQ$4=$E$4:$AH$4)*(AQ$5=$E$5:$AH$5)*(AQ$6=$E$6:$AH$6))</f>
        <v>50.225291896182853</v>
      </c>
      <c r="AR173" s="22" cm="1">
        <f t="array" aca="1" ref="AR173" ca="1">SUMPRODUCT(($E173:$AH173)*(AR$3=$E$3:$AH$3)*(AR$4=$E$4:$AH$4)*(AR$5=$E$5:$AH$5)*(AR$6=$E$6:$AH$6))</f>
        <v>50.225291896182853</v>
      </c>
      <c r="AS173" s="22" cm="1">
        <f t="array" aca="1" ref="AS173" ca="1">SUMPRODUCT(($E173:$AH173)*(AS$3=$E$3:$AH$3)*(AS$4=$E$4:$AH$4)*(AS$5=$E$5:$AH$5)*(AS$6=$E$6:$AH$6))</f>
        <v>50.225291896182853</v>
      </c>
      <c r="AU173" s="22" cm="1">
        <f t="array" aca="1" ref="AU173" ca="1">SUMPRODUCT(($E173:$AH173)*(AU$5=$E$5:$AH$5))</f>
        <v>109.30475045903239</v>
      </c>
      <c r="AV173" s="22" cm="1">
        <f t="array" aca="1" ref="AV173" ca="1">SUMPRODUCT(($E173:$AH173)*(AV$5=$E$5:$AH$5))</f>
        <v>200.90116758473141</v>
      </c>
      <c r="AW173" s="22" cm="1">
        <f t="array" aca="1" ref="AW173" ca="1">SUMPRODUCT(($E173:$AH173)*(AW$5=$E$5:$AH$5))</f>
        <v>200.90116758473141</v>
      </c>
    </row>
    <row r="174" spans="2:49" x14ac:dyDescent="0.2"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63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J174" s="32"/>
      <c r="AK174" s="32"/>
      <c r="AL174" s="32"/>
      <c r="AM174" s="63"/>
      <c r="AN174" s="32"/>
      <c r="AO174" s="32"/>
      <c r="AP174" s="32"/>
      <c r="AQ174" s="32"/>
      <c r="AR174" s="32"/>
      <c r="AS174" s="32"/>
      <c r="AU174" s="32"/>
      <c r="AV174" s="32"/>
      <c r="AW174" s="32"/>
    </row>
    <row r="175" spans="2:49" x14ac:dyDescent="0.2">
      <c r="C175" s="49" t="s">
        <v>134</v>
      </c>
      <c r="E175" s="22">
        <f>E173+E168</f>
        <v>20.029275765633791</v>
      </c>
      <c r="F175" s="22">
        <f t="shared" ref="F175:AH175" si="137">F173+F168</f>
        <v>20.029275765633791</v>
      </c>
      <c r="G175" s="22">
        <f t="shared" si="137"/>
        <v>20.856150765633792</v>
      </c>
      <c r="H175" s="22">
        <f t="shared" si="137"/>
        <v>20.856150765633792</v>
      </c>
      <c r="I175" s="22">
        <f t="shared" si="137"/>
        <v>20.856150765633792</v>
      </c>
      <c r="J175" s="22">
        <f t="shared" si="137"/>
        <v>24.39781743230046</v>
      </c>
      <c r="K175" s="22">
        <f t="shared" si="137"/>
        <v>19.065109098967124</v>
      </c>
      <c r="L175" s="22">
        <f t="shared" si="137"/>
        <v>19.065109098967124</v>
      </c>
      <c r="M175" s="22">
        <f t="shared" si="137"/>
        <v>19.065109098967124</v>
      </c>
      <c r="N175" s="22">
        <f t="shared" si="137"/>
        <v>19.065109098967124</v>
      </c>
      <c r="O175" s="22">
        <f t="shared" si="137"/>
        <v>19.065109098967124</v>
      </c>
      <c r="P175" s="22">
        <f t="shared" si="137"/>
        <v>19.117609098967126</v>
      </c>
      <c r="Q175" s="22">
        <f t="shared" si="137"/>
        <v>19.117609098967126</v>
      </c>
      <c r="R175" s="22">
        <f t="shared" si="137"/>
        <v>19.117609098967126</v>
      </c>
      <c r="S175" s="22">
        <f t="shared" si="137"/>
        <v>19.117609098967126</v>
      </c>
      <c r="T175" s="22">
        <f t="shared" si="137"/>
        <v>19.117609098967126</v>
      </c>
      <c r="U175" s="22">
        <f t="shared" si="137"/>
        <v>19.117609098967126</v>
      </c>
      <c r="V175" s="22">
        <f t="shared" si="137"/>
        <v>19.117609098967126</v>
      </c>
      <c r="W175" s="22">
        <f t="shared" si="137"/>
        <v>19.117609098967126</v>
      </c>
      <c r="X175" s="22">
        <f t="shared" si="137"/>
        <v>19.117609098967126</v>
      </c>
      <c r="Y175" s="22">
        <f t="shared" si="137"/>
        <v>19.117609098967126</v>
      </c>
      <c r="Z175" s="22">
        <f t="shared" si="137"/>
        <v>19.117609098967126</v>
      </c>
      <c r="AA175" s="22">
        <f t="shared" si="137"/>
        <v>19.117609098967126</v>
      </c>
      <c r="AB175" s="22">
        <f t="shared" si="137"/>
        <v>19.117609098967126</v>
      </c>
      <c r="AC175" s="22">
        <f t="shared" si="137"/>
        <v>19.117609098967126</v>
      </c>
      <c r="AD175" s="22">
        <f t="shared" si="137"/>
        <v>19.117609098967126</v>
      </c>
      <c r="AE175" s="22">
        <f t="shared" si="137"/>
        <v>19.117609098967126</v>
      </c>
      <c r="AF175" s="22">
        <f t="shared" si="137"/>
        <v>19.117609098967126</v>
      </c>
      <c r="AG175" s="22">
        <f t="shared" si="137"/>
        <v>19.117609098967126</v>
      </c>
      <c r="AH175" s="22">
        <f t="shared" si="137"/>
        <v>19.117609098967126</v>
      </c>
      <c r="AJ175" s="52">
        <f t="shared" ref="AJ175:AW175" ca="1" si="138">AJ168+AJ173</f>
        <v>60.914702296901375</v>
      </c>
      <c r="AK175" s="52">
        <f t="shared" ca="1" si="138"/>
        <v>66.110118963568041</v>
      </c>
      <c r="AL175" s="52">
        <f t="shared" ca="1" si="138"/>
        <v>57.195327296901375</v>
      </c>
      <c r="AM175" s="53">
        <f t="shared" ca="1" si="138"/>
        <v>57.247827296901377</v>
      </c>
      <c r="AN175" s="52">
        <f t="shared" ca="1" si="138"/>
        <v>57.352827296901374</v>
      </c>
      <c r="AO175" s="52">
        <f t="shared" ca="1" si="138"/>
        <v>57.352827296901374</v>
      </c>
      <c r="AP175" s="52">
        <f t="shared" ca="1" si="138"/>
        <v>57.352827296901374</v>
      </c>
      <c r="AQ175" s="52">
        <f t="shared" ca="1" si="138"/>
        <v>57.352827296901374</v>
      </c>
      <c r="AR175" s="52">
        <f t="shared" ca="1" si="138"/>
        <v>57.352827296901374</v>
      </c>
      <c r="AS175" s="52">
        <f t="shared" ca="1" si="138"/>
        <v>57.352827296901374</v>
      </c>
      <c r="AU175" s="52">
        <f t="shared" ca="1" si="138"/>
        <v>127.02482126046944</v>
      </c>
      <c r="AV175" s="52">
        <f t="shared" ca="1" si="138"/>
        <v>229.14880918760551</v>
      </c>
      <c r="AW175" s="52">
        <f t="shared" ca="1" si="138"/>
        <v>229.4113091876055</v>
      </c>
    </row>
    <row r="176" spans="2:49" x14ac:dyDescent="0.2">
      <c r="P176" s="2"/>
      <c r="AM176" s="2"/>
    </row>
    <row r="177" spans="1:49" x14ac:dyDescent="0.2">
      <c r="C177" s="17" t="s">
        <v>135</v>
      </c>
      <c r="D177" s="17"/>
      <c r="E177" s="18" t="str">
        <f t="shared" ref="E177:AH177" si="139">E$9</f>
        <v>Jul-20A</v>
      </c>
      <c r="F177" s="18" t="str">
        <f t="shared" si="139"/>
        <v>Aug-20A</v>
      </c>
      <c r="G177" s="18" t="str">
        <f t="shared" si="139"/>
        <v>Sep-20A</v>
      </c>
      <c r="H177" s="18" t="str">
        <f t="shared" si="139"/>
        <v>Oct-20A</v>
      </c>
      <c r="I177" s="18" t="str">
        <f t="shared" si="139"/>
        <v>Nov-20A</v>
      </c>
      <c r="J177" s="18" t="str">
        <f t="shared" si="139"/>
        <v>Dec-20A</v>
      </c>
      <c r="K177" s="18" t="str">
        <f t="shared" si="139"/>
        <v>Jan-21A</v>
      </c>
      <c r="L177" s="18" t="str">
        <f t="shared" si="139"/>
        <v>Feb-21A</v>
      </c>
      <c r="M177" s="18" t="str">
        <f t="shared" si="139"/>
        <v>Mar-21A</v>
      </c>
      <c r="N177" s="18" t="str">
        <f t="shared" si="139"/>
        <v>Apr-21A</v>
      </c>
      <c r="O177" s="18" t="str">
        <f t="shared" si="139"/>
        <v>May-21A</v>
      </c>
      <c r="P177" s="19" t="str">
        <f t="shared" si="139"/>
        <v>Jun-21A</v>
      </c>
      <c r="Q177" s="18" t="str">
        <f t="shared" si="139"/>
        <v>Jul-21F</v>
      </c>
      <c r="R177" s="18" t="str">
        <f t="shared" si="139"/>
        <v>Aug-21F</v>
      </c>
      <c r="S177" s="18" t="str">
        <f t="shared" si="139"/>
        <v>Sep-21F</v>
      </c>
      <c r="T177" s="18" t="str">
        <f t="shared" si="139"/>
        <v>Oct-21F</v>
      </c>
      <c r="U177" s="18" t="str">
        <f t="shared" si="139"/>
        <v>Nov-21F</v>
      </c>
      <c r="V177" s="18" t="str">
        <f t="shared" si="139"/>
        <v>Dec-21F</v>
      </c>
      <c r="W177" s="18" t="str">
        <f t="shared" si="139"/>
        <v>Jan-22F</v>
      </c>
      <c r="X177" s="18" t="str">
        <f t="shared" si="139"/>
        <v>Feb-22F</v>
      </c>
      <c r="Y177" s="18" t="str">
        <f t="shared" si="139"/>
        <v>Mar-22F</v>
      </c>
      <c r="Z177" s="18" t="str">
        <f t="shared" si="139"/>
        <v>Apr-22F</v>
      </c>
      <c r="AA177" s="18" t="str">
        <f t="shared" si="139"/>
        <v>May-22F</v>
      </c>
      <c r="AB177" s="18" t="str">
        <f t="shared" si="139"/>
        <v>Jun-22F</v>
      </c>
      <c r="AC177" s="18" t="str">
        <f t="shared" si="139"/>
        <v>Jul-22F</v>
      </c>
      <c r="AD177" s="18" t="str">
        <f t="shared" si="139"/>
        <v>Aug-22F</v>
      </c>
      <c r="AE177" s="18" t="str">
        <f t="shared" si="139"/>
        <v>Sep-22F</v>
      </c>
      <c r="AF177" s="18" t="str">
        <f t="shared" si="139"/>
        <v>Oct-22F</v>
      </c>
      <c r="AG177" s="18" t="str">
        <f t="shared" si="139"/>
        <v>Nov-22F</v>
      </c>
      <c r="AH177" s="18" t="str">
        <f t="shared" si="139"/>
        <v>Dec-22F</v>
      </c>
      <c r="AJ177" s="18" t="str">
        <f ca="1">AJ$10</f>
        <v>Q3'20A</v>
      </c>
      <c r="AK177" s="18" t="str">
        <f t="shared" ref="AK177:AW177" ca="1" si="140">AK$10</f>
        <v>Q4'20A</v>
      </c>
      <c r="AL177" s="18" t="str">
        <f t="shared" ca="1" si="140"/>
        <v>Q1'21A</v>
      </c>
      <c r="AM177" s="19" t="str">
        <f t="shared" ca="1" si="140"/>
        <v>Q2'21A</v>
      </c>
      <c r="AN177" s="18" t="str">
        <f t="shared" ca="1" si="140"/>
        <v>Q3'21F</v>
      </c>
      <c r="AO177" s="18" t="str">
        <f t="shared" ca="1" si="140"/>
        <v>Q4'21F</v>
      </c>
      <c r="AP177" s="18" t="str">
        <f t="shared" ca="1" si="140"/>
        <v>Q1'22F</v>
      </c>
      <c r="AQ177" s="18" t="str">
        <f t="shared" ca="1" si="140"/>
        <v>Q2'22F</v>
      </c>
      <c r="AR177" s="18" t="str">
        <f t="shared" ca="1" si="140"/>
        <v>Q3'22F</v>
      </c>
      <c r="AS177" s="18" t="str">
        <f t="shared" ca="1" si="140"/>
        <v>Q4'22F</v>
      </c>
      <c r="AU177" s="18" t="str">
        <f t="shared" ca="1" si="140"/>
        <v>FY20</v>
      </c>
      <c r="AV177" s="18" t="str">
        <f t="shared" ca="1" si="140"/>
        <v>FY21</v>
      </c>
      <c r="AW177" s="18" t="str">
        <f t="shared" ca="1" si="140"/>
        <v>FY22</v>
      </c>
    </row>
    <row r="178" spans="1:49" x14ac:dyDescent="0.2">
      <c r="C178" s="20" t="s">
        <v>136</v>
      </c>
      <c r="E178" s="58">
        <v>36.867388740074858</v>
      </c>
      <c r="F178" s="58">
        <v>-104.58758765299469</v>
      </c>
      <c r="G178" s="58">
        <v>-27.481901965753817</v>
      </c>
      <c r="H178" s="58">
        <v>34.160533697685509</v>
      </c>
      <c r="I178" s="58">
        <v>73.358806913441171</v>
      </c>
      <c r="J178" s="59">
        <v>298.03133149047494</v>
      </c>
      <c r="K178" s="58">
        <v>69.183535258300907</v>
      </c>
      <c r="L178" s="58">
        <v>25.75177191804001</v>
      </c>
      <c r="M178" s="58">
        <v>-343.23661140581555</v>
      </c>
      <c r="N178" s="58">
        <v>270.35194454309192</v>
      </c>
      <c r="O178" s="58">
        <v>175.36579440462305</v>
      </c>
      <c r="P178" s="60">
        <v>152.65069659155694</v>
      </c>
      <c r="Q178" s="58">
        <v>102.78568112228672</v>
      </c>
      <c r="R178" s="58">
        <v>-39.46033611617316</v>
      </c>
      <c r="S178" s="58">
        <v>-19.126697982757157</v>
      </c>
      <c r="T178" s="58">
        <v>19.418445177790524</v>
      </c>
      <c r="U178" s="58">
        <v>68.426681412923301</v>
      </c>
      <c r="V178" s="58">
        <v>246.20933539016505</v>
      </c>
      <c r="W178" s="58">
        <v>58.497111237145148</v>
      </c>
      <c r="X178" s="58">
        <v>-3.7089034695636265</v>
      </c>
      <c r="Y178" s="58">
        <v>-373.1071980283885</v>
      </c>
      <c r="Z178" s="58">
        <v>258.53312727860356</v>
      </c>
      <c r="AA178" s="58">
        <v>147.38301665413118</v>
      </c>
      <c r="AB178" s="58">
        <v>188.86267016480627</v>
      </c>
      <c r="AC178" s="58">
        <v>95.32951288716265</v>
      </c>
      <c r="AD178" s="58">
        <v>-45.166151175138047</v>
      </c>
      <c r="AE178" s="58">
        <v>-6.8068198020192057</v>
      </c>
      <c r="AF178" s="58">
        <v>29.909185913036275</v>
      </c>
      <c r="AG178" s="58">
        <v>81.007981364007136</v>
      </c>
      <c r="AH178" s="58">
        <v>268.43174071126339</v>
      </c>
      <c r="AM178" s="2"/>
    </row>
    <row r="179" spans="1:49" x14ac:dyDescent="0.2">
      <c r="C179" s="25" t="s">
        <v>137</v>
      </c>
      <c r="D179" s="32"/>
      <c r="E179" s="81">
        <f>E180/E178</f>
        <v>0.21</v>
      </c>
      <c r="F179" s="81">
        <f t="shared" ref="F179:P179" si="141">F180/F178</f>
        <v>0.21</v>
      </c>
      <c r="G179" s="81">
        <f t="shared" si="141"/>
        <v>0.21</v>
      </c>
      <c r="H179" s="81">
        <f t="shared" si="141"/>
        <v>0.21</v>
      </c>
      <c r="I179" s="81">
        <f t="shared" si="141"/>
        <v>0.21</v>
      </c>
      <c r="J179" s="81">
        <f t="shared" si="141"/>
        <v>0.21</v>
      </c>
      <c r="K179" s="81">
        <f t="shared" si="141"/>
        <v>0.21</v>
      </c>
      <c r="L179" s="81">
        <f t="shared" si="141"/>
        <v>0.21</v>
      </c>
      <c r="M179" s="81">
        <f t="shared" si="141"/>
        <v>0.21000000000000002</v>
      </c>
      <c r="N179" s="81">
        <f t="shared" si="141"/>
        <v>0.21</v>
      </c>
      <c r="O179" s="81">
        <f t="shared" si="141"/>
        <v>0.21000000000000002</v>
      </c>
      <c r="P179" s="81">
        <f t="shared" si="141"/>
        <v>0.21</v>
      </c>
      <c r="Q179" s="81">
        <f>P179</f>
        <v>0.21</v>
      </c>
      <c r="R179" s="81">
        <f t="shared" ref="R179:AH179" si="142">Q179</f>
        <v>0.21</v>
      </c>
      <c r="S179" s="81">
        <f t="shared" si="142"/>
        <v>0.21</v>
      </c>
      <c r="T179" s="81">
        <f t="shared" si="142"/>
        <v>0.21</v>
      </c>
      <c r="U179" s="81">
        <f t="shared" si="142"/>
        <v>0.21</v>
      </c>
      <c r="V179" s="81">
        <f t="shared" si="142"/>
        <v>0.21</v>
      </c>
      <c r="W179" s="81">
        <f t="shared" si="142"/>
        <v>0.21</v>
      </c>
      <c r="X179" s="81">
        <f t="shared" si="142"/>
        <v>0.21</v>
      </c>
      <c r="Y179" s="81">
        <f t="shared" si="142"/>
        <v>0.21</v>
      </c>
      <c r="Z179" s="81">
        <f t="shared" si="142"/>
        <v>0.21</v>
      </c>
      <c r="AA179" s="81">
        <f t="shared" si="142"/>
        <v>0.21</v>
      </c>
      <c r="AB179" s="81">
        <f t="shared" si="142"/>
        <v>0.21</v>
      </c>
      <c r="AC179" s="81">
        <f t="shared" si="142"/>
        <v>0.21</v>
      </c>
      <c r="AD179" s="81">
        <f t="shared" si="142"/>
        <v>0.21</v>
      </c>
      <c r="AE179" s="81">
        <f t="shared" si="142"/>
        <v>0.21</v>
      </c>
      <c r="AF179" s="81">
        <f t="shared" si="142"/>
        <v>0.21</v>
      </c>
      <c r="AG179" s="81">
        <f t="shared" si="142"/>
        <v>0.21</v>
      </c>
      <c r="AH179" s="81">
        <f t="shared" si="142"/>
        <v>0.21</v>
      </c>
      <c r="AM179" s="2"/>
    </row>
    <row r="180" spans="1:49" x14ac:dyDescent="0.2">
      <c r="B180" t="s">
        <v>12</v>
      </c>
      <c r="C180" t="s">
        <v>138</v>
      </c>
      <c r="E180" s="66">
        <v>7.7421516354157198</v>
      </c>
      <c r="F180" s="66">
        <v>-21.963393407128883</v>
      </c>
      <c r="G180" s="66">
        <v>-5.7711994128083015</v>
      </c>
      <c r="H180" s="66">
        <v>7.1737120765139561</v>
      </c>
      <c r="I180" s="66">
        <v>15.405349451822646</v>
      </c>
      <c r="J180" s="41">
        <v>62.586579612999735</v>
      </c>
      <c r="K180" s="66">
        <v>14.52854240424319</v>
      </c>
      <c r="L180" s="66">
        <v>5.407872102788402</v>
      </c>
      <c r="M180" s="66">
        <v>-72.079688395221268</v>
      </c>
      <c r="N180" s="66">
        <v>56.773908354049304</v>
      </c>
      <c r="O180" s="66">
        <v>36.826816824970841</v>
      </c>
      <c r="P180" s="42">
        <v>32.056646284226957</v>
      </c>
      <c r="Q180" s="22">
        <f>Q178*Q179</f>
        <v>21.58499303568021</v>
      </c>
      <c r="R180" s="22">
        <f t="shared" ref="R180:AH180" si="143">R178*R179</f>
        <v>-8.2866705843963633</v>
      </c>
      <c r="S180" s="22">
        <f t="shared" si="143"/>
        <v>-4.0166065763790026</v>
      </c>
      <c r="T180" s="22">
        <f t="shared" si="143"/>
        <v>4.0778734873360101</v>
      </c>
      <c r="U180" s="22">
        <f t="shared" si="143"/>
        <v>14.369603096713893</v>
      </c>
      <c r="V180" s="22">
        <f t="shared" si="143"/>
        <v>51.703960431934661</v>
      </c>
      <c r="W180" s="22">
        <f t="shared" si="143"/>
        <v>12.284393359800481</v>
      </c>
      <c r="X180" s="22">
        <f t="shared" si="143"/>
        <v>-0.77886972860836157</v>
      </c>
      <c r="Y180" s="22">
        <f t="shared" si="143"/>
        <v>-78.352511585961579</v>
      </c>
      <c r="Z180" s="22">
        <f t="shared" si="143"/>
        <v>54.291956728506747</v>
      </c>
      <c r="AA180" s="22">
        <f t="shared" si="143"/>
        <v>30.950433497367548</v>
      </c>
      <c r="AB180" s="22">
        <f t="shared" si="143"/>
        <v>39.661160734609318</v>
      </c>
      <c r="AC180" s="22">
        <f t="shared" si="143"/>
        <v>20.019197706304155</v>
      </c>
      <c r="AD180" s="22">
        <f t="shared" si="143"/>
        <v>-9.4848917467789899</v>
      </c>
      <c r="AE180" s="22">
        <f t="shared" si="143"/>
        <v>-1.429432158424033</v>
      </c>
      <c r="AF180" s="22">
        <f t="shared" si="143"/>
        <v>6.2809290417376173</v>
      </c>
      <c r="AG180" s="22">
        <f t="shared" si="143"/>
        <v>17.011676086441497</v>
      </c>
      <c r="AH180" s="22">
        <f t="shared" si="143"/>
        <v>56.370665549365306</v>
      </c>
      <c r="AJ180" s="22" cm="1">
        <f t="array" aca="1" ref="AJ180" ca="1">SUMPRODUCT(($E180:$AH180)*(AJ$3&amp;AJ$4&amp;AJ$5&amp;AJ$6=$E$3:$AH$3&amp;$E$4:$AH$4&amp;$E$5:$AH$5&amp;$E$6:$AH$6))</f>
        <v>-19.992441184521464</v>
      </c>
      <c r="AK180" s="22" cm="1">
        <f t="array" aca="1" ref="AK180" ca="1">SUMPRODUCT(($E180:$AH180)*(AK$3=$E$3:$AH$3)*(AK$4=$E$4:$AH$4)*(AK$5=$E$5:$AH$5)*(AK$6=$E$6:$AH$6))</f>
        <v>85.165641141336337</v>
      </c>
      <c r="AL180" s="22" cm="1">
        <f t="array" aca="1" ref="AL180" ca="1">SUMPRODUCT(($E180:$AH180)*(AL$3=$E$3:$AH$3)*(AL$4=$E$4:$AH$4)*(AL$5=$E$5:$AH$5)*(AL$6=$E$6:$AH$6))</f>
        <v>-52.143273888189675</v>
      </c>
      <c r="AM180" s="23" cm="1">
        <f t="array" aca="1" ref="AM180" ca="1">SUMPRODUCT(($E180:$AH180)*(AM$3=$E$3:$AH$3)*(AM$4=$E$4:$AH$4)*(AM$5=$E$5:$AH$5)*(AM$6=$E$6:$AH$6))</f>
        <v>125.6573714632471</v>
      </c>
      <c r="AN180" s="22" cm="1">
        <f t="array" aca="1" ref="AN180" ca="1">SUMPRODUCT(($E180:$AH180)*(AN$3=$E$3:$AH$3)*(AN$4=$E$4:$AH$4)*(AN$5=$E$5:$AH$5)*(AN$6=$E$6:$AH$6))</f>
        <v>9.2817158749048438</v>
      </c>
      <c r="AO180" s="22" cm="1">
        <f t="array" aca="1" ref="AO180" ca="1">SUMPRODUCT(($E180:$AH180)*(AO$3=$E$3:$AH$3)*(AO$4=$E$4:$AH$4)*(AO$5=$E$5:$AH$5)*(AO$6=$E$6:$AH$6))</f>
        <v>70.151437015984556</v>
      </c>
      <c r="AP180" s="22" cm="1">
        <f t="array" aca="1" ref="AP180" ca="1">SUMPRODUCT(($E180:$AH180)*(AP$3=$E$3:$AH$3)*(AP$4=$E$4:$AH$4)*(AP$5=$E$5:$AH$5)*(AP$6=$E$6:$AH$6))</f>
        <v>-66.84698795476946</v>
      </c>
      <c r="AQ180" s="22" cm="1">
        <f t="array" aca="1" ref="AQ180" ca="1">SUMPRODUCT(($E180:$AH180)*(AQ$3=$E$3:$AH$3)*(AQ$4=$E$4:$AH$4)*(AQ$5=$E$5:$AH$5)*(AQ$6=$E$6:$AH$6))</f>
        <v>124.90355096048361</v>
      </c>
      <c r="AR180" s="22" cm="1">
        <f t="array" aca="1" ref="AR180" ca="1">SUMPRODUCT(($E180:$AH180)*(AR$3=$E$3:$AH$3)*(AR$4=$E$4:$AH$4)*(AR$5=$E$5:$AH$5)*(AR$6=$E$6:$AH$6))</f>
        <v>9.1048738011011316</v>
      </c>
      <c r="AS180" s="22" cm="1">
        <f t="array" aca="1" ref="AS180" ca="1">SUMPRODUCT(($E180:$AH180)*(AS$3=$E$3:$AH$3)*(AS$4=$E$4:$AH$4)*(AS$5=$E$5:$AH$5)*(AS$6=$E$6:$AH$6))</f>
        <v>79.663270677544418</v>
      </c>
      <c r="AU180" s="22" cm="1">
        <f t="array" aca="1" ref="AU180" ca="1">SUMPRODUCT(($E180:$AH180)*(AU$5=$E$5:$AH$5))</f>
        <v>65.173199956814869</v>
      </c>
      <c r="AV180" s="22" cm="1">
        <f t="array" aca="1" ref="AV180" ca="1">SUMPRODUCT(($E180:$AH180)*(AV$5=$E$5:$AH$5))</f>
        <v>152.94725046594684</v>
      </c>
      <c r="AW180" s="22" cm="1">
        <f t="array" aca="1" ref="AW180" ca="1">SUMPRODUCT(($E180:$AH180)*(AW$5=$E$5:$AH$5))</f>
        <v>146.82470748435972</v>
      </c>
    </row>
    <row r="181" spans="1:49" x14ac:dyDescent="0.2">
      <c r="P181" s="2"/>
      <c r="AM181" s="2"/>
    </row>
    <row r="182" spans="1:49" ht="16" thickBot="1" x14ac:dyDescent="0.25">
      <c r="B182" t="s">
        <v>12</v>
      </c>
      <c r="C182" s="34" t="s">
        <v>139</v>
      </c>
      <c r="D182" s="34"/>
      <c r="E182" s="129">
        <f ca="1">E122+E127+E132+E139+E144+E149+E154+E159+E168+E173+E180</f>
        <v>824.59869300143873</v>
      </c>
      <c r="F182" s="129">
        <f t="shared" ref="F182:AH182" ca="1" si="144">F122+F127+F132+F139+F144+F149+F154+F159+F168+F173+F180</f>
        <v>739.62512339516161</v>
      </c>
      <c r="G182" s="129">
        <f t="shared" ca="1" si="144"/>
        <v>671.59259873216683</v>
      </c>
      <c r="H182" s="129">
        <f t="shared" ca="1" si="144"/>
        <v>641.90325617868143</v>
      </c>
      <c r="I182" s="129">
        <f t="shared" ca="1" si="144"/>
        <v>622.59927302109497</v>
      </c>
      <c r="J182" s="129">
        <f t="shared" ca="1" si="144"/>
        <v>749.44463808698561</v>
      </c>
      <c r="K182" s="129">
        <f t="shared" ca="1" si="144"/>
        <v>711.52806840602079</v>
      </c>
      <c r="L182" s="129">
        <f t="shared" ca="1" si="144"/>
        <v>642.62606096661625</v>
      </c>
      <c r="M182" s="129">
        <f t="shared" ca="1" si="144"/>
        <v>943.25789775014789</v>
      </c>
      <c r="N182" s="129">
        <f t="shared" ca="1" si="144"/>
        <v>737.63165437478949</v>
      </c>
      <c r="O182" s="129">
        <f t="shared" ca="1" si="144"/>
        <v>796.93755914335588</v>
      </c>
      <c r="P182" s="129">
        <f t="shared" ca="1" si="144"/>
        <v>873.95332866274782</v>
      </c>
      <c r="Q182" s="129">
        <f t="shared" ca="1" si="144"/>
        <v>811.335257933035</v>
      </c>
      <c r="R182" s="129">
        <f t="shared" ca="1" si="144"/>
        <v>740.92267244161258</v>
      </c>
      <c r="S182" s="129">
        <f t="shared" ca="1" si="144"/>
        <v>696.18621501981454</v>
      </c>
      <c r="T182" s="129">
        <f t="shared" ca="1" si="144"/>
        <v>680.92631538495789</v>
      </c>
      <c r="U182" s="129">
        <f t="shared" ca="1" si="144"/>
        <v>662.81924332019719</v>
      </c>
      <c r="V182" s="129">
        <f t="shared" ca="1" si="144"/>
        <v>766.77711067778296</v>
      </c>
      <c r="W182" s="129">
        <f t="shared" ca="1" si="144"/>
        <v>773.92244710253908</v>
      </c>
      <c r="X182" s="129">
        <f t="shared" ca="1" si="144"/>
        <v>697.37586206309572</v>
      </c>
      <c r="Y182" s="129">
        <f t="shared" ca="1" si="144"/>
        <v>1010.6975811922032</v>
      </c>
      <c r="Z182" s="129">
        <f t="shared" ca="1" si="144"/>
        <v>813.46995777296524</v>
      </c>
      <c r="AA182" s="129">
        <f t="shared" ca="1" si="144"/>
        <v>837.89695869684624</v>
      </c>
      <c r="AB182" s="129">
        <f t="shared" ca="1" si="144"/>
        <v>898.1774245579129</v>
      </c>
      <c r="AC182" s="129">
        <f t="shared" ca="1" si="144"/>
        <v>861.35492090939806</v>
      </c>
      <c r="AD182" s="129">
        <f t="shared" ca="1" si="144"/>
        <v>781.48509549147946</v>
      </c>
      <c r="AE182" s="129">
        <f t="shared" ca="1" si="144"/>
        <v>721.22071786724973</v>
      </c>
      <c r="AF182" s="129">
        <f t="shared" ca="1" si="144"/>
        <v>708.30694156247955</v>
      </c>
      <c r="AG182" s="129">
        <f t="shared" ca="1" si="144"/>
        <v>689.56057383113091</v>
      </c>
      <c r="AH182" s="129">
        <f t="shared" ca="1" si="144"/>
        <v>797.15352614392748</v>
      </c>
      <c r="AJ182" s="67">
        <f t="shared" ref="AJ182:AS182" ca="1" si="145">AJ81+AJ122+AJ127+AJ132+AJ139+AJ162+AJ173+AJ180</f>
        <v>2714.2032914419915</v>
      </c>
      <c r="AK182" s="67">
        <f t="shared" ca="1" si="145"/>
        <v>2471.9036080568389</v>
      </c>
      <c r="AL182" s="67">
        <f t="shared" ca="1" si="145"/>
        <v>2806.2230816663587</v>
      </c>
      <c r="AM182" s="68">
        <f t="shared" ca="1" si="145"/>
        <v>3024.324862280007</v>
      </c>
      <c r="AN182" s="67">
        <f t="shared" ca="1" si="145"/>
        <v>2769.4859769938503</v>
      </c>
      <c r="AO182" s="67">
        <f t="shared" ca="1" si="145"/>
        <v>2620.3866316473845</v>
      </c>
      <c r="AP182" s="67">
        <f t="shared" ca="1" si="145"/>
        <v>3005.2237027546553</v>
      </c>
      <c r="AQ182" s="67">
        <f t="shared" ca="1" si="145"/>
        <v>3199.1619355805933</v>
      </c>
      <c r="AR182" s="67">
        <f t="shared" ca="1" si="145"/>
        <v>2906.7724356478084</v>
      </c>
      <c r="AS182" s="67">
        <f t="shared" ca="1" si="145"/>
        <v>2726.1612956772178</v>
      </c>
      <c r="AU182" s="67">
        <f t="shared" ref="AU182:AW182" ca="1" si="146">AU81+AU122+AU127+AU132+AU139+AU162+AU173+AU180</f>
        <v>5186.10689949883</v>
      </c>
      <c r="AV182" s="67">
        <f t="shared" ca="1" si="146"/>
        <v>11220.420552587602</v>
      </c>
      <c r="AW182" s="67">
        <f t="shared" ca="1" si="146"/>
        <v>11837.319369660276</v>
      </c>
    </row>
    <row r="183" spans="1:49" ht="16" thickTop="1" x14ac:dyDescent="0.2">
      <c r="P183" s="2"/>
      <c r="AM183" s="2"/>
    </row>
    <row r="184" spans="1:49" ht="16" thickBot="1" x14ac:dyDescent="0.25">
      <c r="A184" t="s">
        <v>12</v>
      </c>
      <c r="B184" t="s">
        <v>12</v>
      </c>
      <c r="C184" s="34" t="s">
        <v>30</v>
      </c>
      <c r="D184" s="34"/>
      <c r="E184" s="67">
        <f ca="1">E182+E81+E58+E42</f>
        <v>1050.2737856114986</v>
      </c>
      <c r="F184" s="67">
        <f t="shared" ref="F184:AH184" ca="1" si="147">F182+F81+F58+F42</f>
        <v>945.13847584335701</v>
      </c>
      <c r="G184" s="67">
        <f t="shared" ca="1" si="147"/>
        <v>861.53087602745484</v>
      </c>
      <c r="H184" s="67">
        <f t="shared" ca="1" si="147"/>
        <v>832.32449398418623</v>
      </c>
      <c r="I184" s="67">
        <f t="shared" ca="1" si="147"/>
        <v>812.86883054559769</v>
      </c>
      <c r="J184" s="67">
        <f t="shared" ca="1" si="147"/>
        <v>971.10387956737429</v>
      </c>
      <c r="K184" s="67">
        <f t="shared" ca="1" si="147"/>
        <v>947.06806979240173</v>
      </c>
      <c r="L184" s="67">
        <f t="shared" ca="1" si="147"/>
        <v>854.30279284490791</v>
      </c>
      <c r="M184" s="67">
        <f t="shared" ca="1" si="147"/>
        <v>1146.5289400693684</v>
      </c>
      <c r="N184" s="67">
        <f t="shared" ca="1" si="147"/>
        <v>986.43941765933982</v>
      </c>
      <c r="O184" s="67">
        <f t="shared" ca="1" si="147"/>
        <v>1047.3550965743409</v>
      </c>
      <c r="P184" s="67">
        <f t="shared" ca="1" si="147"/>
        <v>1132.2595690866458</v>
      </c>
      <c r="Q184" s="67">
        <f t="shared" ca="1" si="147"/>
        <v>1054.0988264847176</v>
      </c>
      <c r="R184" s="67">
        <f t="shared" ca="1" si="147"/>
        <v>958.16263602138895</v>
      </c>
      <c r="S184" s="67">
        <f t="shared" ca="1" si="147"/>
        <v>899.05873552806349</v>
      </c>
      <c r="T184" s="67">
        <f t="shared" ca="1" si="147"/>
        <v>884.926653852973</v>
      </c>
      <c r="U184" s="67">
        <f t="shared" ca="1" si="147"/>
        <v>864.48932467121006</v>
      </c>
      <c r="V184" s="67">
        <f t="shared" ca="1" si="147"/>
        <v>1012.8048741635206</v>
      </c>
      <c r="W184" s="67">
        <f t="shared" ca="1" si="147"/>
        <v>1013.2862771849292</v>
      </c>
      <c r="X184" s="67">
        <f t="shared" ca="1" si="147"/>
        <v>914.92090172861879</v>
      </c>
      <c r="Y184" s="67">
        <f t="shared" ca="1" si="147"/>
        <v>1220.6507448814261</v>
      </c>
      <c r="Z184" s="67">
        <f t="shared" ca="1" si="147"/>
        <v>1084.0993693032849</v>
      </c>
      <c r="AA184" s="67">
        <f t="shared" ca="1" si="147"/>
        <v>1092.1086887550148</v>
      </c>
      <c r="AB184" s="67">
        <f t="shared" ca="1" si="147"/>
        <v>1166.5880985626129</v>
      </c>
      <c r="AC184" s="67">
        <f t="shared" ca="1" si="147"/>
        <v>1112.9224746187117</v>
      </c>
      <c r="AD184" s="67">
        <f t="shared" ca="1" si="147"/>
        <v>1006.3870529494777</v>
      </c>
      <c r="AE184" s="67">
        <f t="shared" ca="1" si="147"/>
        <v>931.09712911993813</v>
      </c>
      <c r="AF184" s="67">
        <f t="shared" ca="1" si="147"/>
        <v>919.38620654107456</v>
      </c>
      <c r="AG184" s="67">
        <f t="shared" ca="1" si="147"/>
        <v>898.20860476863163</v>
      </c>
      <c r="AH184" s="67">
        <f t="shared" ca="1" si="147"/>
        <v>1052.2007054078306</v>
      </c>
      <c r="AJ184" s="67">
        <f t="shared" ref="AJ184:AS184" ca="1" si="148">AJ42+AJ58+AJ182</f>
        <v>2848.9099770815924</v>
      </c>
      <c r="AK184" s="67">
        <f t="shared" ca="1" si="148"/>
        <v>2606.6102936964398</v>
      </c>
      <c r="AL184" s="67">
        <f t="shared" ca="1" si="148"/>
        <v>2940.9297673059596</v>
      </c>
      <c r="AM184" s="68">
        <f t="shared" ca="1" si="148"/>
        <v>3159.0315479196079</v>
      </c>
      <c r="AN184" s="67">
        <f t="shared" ca="1" si="148"/>
        <v>2904.1926626334512</v>
      </c>
      <c r="AO184" s="67">
        <f t="shared" ca="1" si="148"/>
        <v>2755.0933172869854</v>
      </c>
      <c r="AP184" s="67">
        <f t="shared" ca="1" si="148"/>
        <v>3141.7303883942559</v>
      </c>
      <c r="AQ184" s="67">
        <f t="shared" ca="1" si="148"/>
        <v>3335.6686212201939</v>
      </c>
      <c r="AR184" s="67">
        <f t="shared" ca="1" si="148"/>
        <v>3043.279121287409</v>
      </c>
      <c r="AS184" s="67">
        <f t="shared" ca="1" si="148"/>
        <v>2862.6679813168184</v>
      </c>
      <c r="AU184" s="67">
        <f t="shared" ref="AU184:AW184" ca="1" si="149">AU42+AU58+AU182</f>
        <v>5455.5202707780318</v>
      </c>
      <c r="AV184" s="67">
        <f t="shared" ca="1" si="149"/>
        <v>11759.247295146006</v>
      </c>
      <c r="AW184" s="67">
        <f t="shared" ca="1" si="149"/>
        <v>12383.34611221868</v>
      </c>
    </row>
    <row r="185" spans="1:49" ht="16" thickTop="1" x14ac:dyDescent="0.2">
      <c r="P185" s="2"/>
    </row>
    <row r="186" spans="1:49" x14ac:dyDescent="0.2">
      <c r="P186" s="2"/>
    </row>
  </sheetData>
  <mergeCells count="1">
    <mergeCell ref="A1:P2"/>
  </mergeCells>
  <dataValidations count="1">
    <dataValidation type="list" allowBlank="1" showInputMessage="1" showErrorMessage="1" sqref="AZ135" xr:uid="{95728D5D-25F5-A046-8654-C4D2E70B7CB2}">
      <formula1>$C$66:$C$69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Jahanvi Patel</dc:creator>
  <cp:lastModifiedBy>Jahanvi Patel</cp:lastModifiedBy>
  <dcterms:created xsi:type="dcterms:W3CDTF">2025-11-29T23:45:01Z</dcterms:created>
  <dcterms:modified xsi:type="dcterms:W3CDTF">2025-11-29T23:46:10Z</dcterms:modified>
</cp:coreProperties>
</file>